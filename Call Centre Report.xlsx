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ujak\Downloads\"/>
    </mc:Choice>
  </mc:AlternateContent>
  <xr:revisionPtr revIDLastSave="0" documentId="13_ncr:1_{A623364E-69C0-46AF-95C7-141A00233136}" xr6:coauthVersionLast="47" xr6:coauthVersionMax="47" xr10:uidLastSave="{00000000-0000-0000-0000-000000000000}"/>
  <bookViews>
    <workbookView xWindow="-108" yWindow="-108" windowWidth="23256" windowHeight="12456" activeTab="1" xr2:uid="{26D4546B-D2A1-4444-8EAF-A6228F96F0C1}"/>
  </bookViews>
  <sheets>
    <sheet name="Data" sheetId="2" r:id="rId1"/>
    <sheet name="Call Centre Report" sheetId="6" r:id="rId2"/>
    <sheet name="Pivots" sheetId="7" r:id="rId3"/>
    <sheet name="Assets" sheetId="4" r:id="rId4"/>
  </sheets>
  <definedNames>
    <definedName name="_xlnm._FilterDatabase" localSheetId="0"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5"/>
    <pivotCache cacheId="1" r:id="rId6"/>
    <pivotCache cacheId="514" r:id="rId7"/>
    <pivotCache cacheId="914" r:id="rId8"/>
    <pivotCache cacheId="2258" r:id="rId9"/>
    <pivotCache cacheId="2261" r:id="rId10"/>
    <pivotCache cacheId="2264" r:id="rId11"/>
    <pivotCache cacheId="2267" r:id="rId12"/>
    <pivotCache cacheId="2270"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7" i="6" l="1" a="1"/>
  <c r="I42" i="7"/>
  <c r="I43" i="7"/>
  <c r="I44" i="7"/>
  <c r="I45" i="7"/>
  <c r="H42" i="7"/>
  <c r="H43" i="7"/>
  <c r="H44" i="7"/>
  <c r="H45" i="7"/>
  <c r="E51" i="7"/>
  <c r="E41" i="7" a="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K111" i="2" a="1"/>
  <c r="K112" i="2" a="1"/>
  <c r="K113" i="2" a="1"/>
  <c r="K114" i="2" a="1"/>
  <c r="K115" i="2" a="1"/>
  <c r="K116" i="2" a="1"/>
  <c r="K117" i="2" a="1"/>
  <c r="K118" i="2" a="1"/>
  <c r="K119" i="2" a="1"/>
  <c r="K120" i="2" a="1"/>
  <c r="K121" i="2" a="1"/>
  <c r="K122" i="2" a="1"/>
  <c r="K123" i="2" a="1"/>
  <c r="K124" i="2" a="1"/>
  <c r="K125" i="2" a="1"/>
  <c r="K126" i="2" a="1"/>
  <c r="K127" i="2" a="1"/>
  <c r="K128" i="2" a="1"/>
  <c r="K129" i="2" a="1"/>
  <c r="K130" i="2" a="1"/>
  <c r="K131" i="2" a="1"/>
  <c r="K132" i="2" a="1"/>
  <c r="K133" i="2" a="1"/>
  <c r="K134" i="2" a="1"/>
  <c r="K135" i="2" a="1"/>
  <c r="K136" i="2" a="1"/>
  <c r="K137" i="2" a="1"/>
  <c r="K138" i="2" a="1"/>
  <c r="K139" i="2" a="1"/>
  <c r="K140" i="2" a="1"/>
  <c r="K141" i="2" a="1"/>
  <c r="K142" i="2" a="1"/>
  <c r="K143" i="2" a="1"/>
  <c r="K144" i="2" a="1"/>
  <c r="K145" i="2" a="1"/>
  <c r="K146" i="2" a="1"/>
  <c r="K147" i="2" a="1"/>
  <c r="K148" i="2" a="1"/>
  <c r="K149" i="2" a="1"/>
  <c r="K150" i="2" a="1"/>
  <c r="K151" i="2" a="1"/>
  <c r="K152" i="2" a="1"/>
  <c r="K153" i="2" a="1"/>
  <c r="K154" i="2" a="1"/>
  <c r="K155" i="2" a="1"/>
  <c r="K156" i="2" a="1"/>
  <c r="K157" i="2" a="1"/>
  <c r="K158" i="2" a="1"/>
  <c r="K159" i="2" a="1"/>
  <c r="K160" i="2" a="1"/>
  <c r="K161" i="2" a="1"/>
  <c r="K162" i="2" a="1"/>
  <c r="K163" i="2" a="1"/>
  <c r="K164" i="2" a="1"/>
  <c r="K165" i="2" a="1"/>
  <c r="K166" i="2" a="1"/>
  <c r="K167" i="2" a="1"/>
  <c r="K168" i="2" a="1"/>
  <c r="K169" i="2" a="1"/>
  <c r="K170" i="2" a="1"/>
  <c r="K171" i="2" a="1"/>
  <c r="K172" i="2" a="1"/>
  <c r="K173" i="2" a="1"/>
  <c r="K174" i="2" a="1"/>
  <c r="K175" i="2" a="1"/>
  <c r="K176" i="2" a="1"/>
  <c r="K177" i="2" a="1"/>
  <c r="K178" i="2" a="1"/>
  <c r="K179" i="2" a="1"/>
  <c r="K180" i="2" a="1"/>
  <c r="K181" i="2" a="1"/>
  <c r="K182" i="2" a="1"/>
  <c r="K183" i="2" a="1"/>
  <c r="K184" i="2" a="1"/>
  <c r="K185" i="2" a="1"/>
  <c r="K186" i="2" a="1"/>
  <c r="K187" i="2" a="1"/>
  <c r="K188" i="2" a="1"/>
  <c r="K189" i="2" a="1"/>
  <c r="K190" i="2" a="1"/>
  <c r="K191" i="2" a="1"/>
  <c r="K192" i="2" a="1"/>
  <c r="K193" i="2" a="1"/>
  <c r="K194" i="2" a="1"/>
  <c r="K195" i="2" a="1"/>
  <c r="K196" i="2" a="1"/>
  <c r="K197" i="2" a="1"/>
  <c r="K198" i="2" a="1"/>
  <c r="K199" i="2" a="1"/>
  <c r="K200" i="2" a="1"/>
  <c r="K201" i="2" a="1"/>
  <c r="K202" i="2" a="1"/>
  <c r="K203" i="2" a="1"/>
  <c r="K204" i="2" a="1"/>
  <c r="K205" i="2" a="1"/>
  <c r="K206" i="2" a="1"/>
  <c r="K207" i="2" a="1"/>
  <c r="K208" i="2" a="1"/>
  <c r="K209" i="2" a="1"/>
  <c r="K210" i="2" a="1"/>
  <c r="K211" i="2" a="1"/>
  <c r="K212" i="2" a="1"/>
  <c r="K213" i="2" a="1"/>
  <c r="K214" i="2" a="1"/>
  <c r="K215" i="2" a="1"/>
  <c r="K216" i="2" a="1"/>
  <c r="K217" i="2" a="1"/>
  <c r="K218" i="2" a="1"/>
  <c r="K219" i="2" a="1"/>
  <c r="K220" i="2" a="1"/>
  <c r="K221" i="2" a="1"/>
  <c r="K222" i="2" a="1"/>
  <c r="K223" i="2" a="1"/>
  <c r="K224" i="2" a="1"/>
  <c r="K225" i="2" a="1"/>
  <c r="K226" i="2" a="1"/>
  <c r="K227" i="2" a="1"/>
  <c r="K228" i="2" a="1"/>
  <c r="K229" i="2" a="1"/>
  <c r="K230" i="2" a="1"/>
  <c r="K231" i="2" a="1"/>
  <c r="K232" i="2" a="1"/>
  <c r="K233" i="2" a="1"/>
  <c r="K234" i="2" a="1"/>
  <c r="K235" i="2" a="1"/>
  <c r="K236" i="2" a="1"/>
  <c r="K237" i="2" a="1"/>
  <c r="K238" i="2" a="1"/>
  <c r="K239" i="2" a="1"/>
  <c r="K240" i="2" a="1"/>
  <c r="K241" i="2" a="1"/>
  <c r="K242" i="2" a="1"/>
  <c r="K243" i="2" a="1"/>
  <c r="K244" i="2" a="1"/>
  <c r="K245" i="2" a="1"/>
  <c r="K246" i="2" a="1"/>
  <c r="K247" i="2" a="1"/>
  <c r="K248" i="2" a="1"/>
  <c r="K249" i="2" a="1"/>
  <c r="K250" i="2" a="1"/>
  <c r="K251" i="2" a="1"/>
  <c r="K252" i="2" a="1"/>
  <c r="K253" i="2" a="1"/>
  <c r="K254" i="2" a="1"/>
  <c r="K255" i="2" a="1"/>
  <c r="K256" i="2" a="1"/>
  <c r="K257" i="2" a="1"/>
  <c r="K258" i="2" a="1"/>
  <c r="K259" i="2" a="1"/>
  <c r="K260" i="2" a="1"/>
  <c r="K261" i="2" a="1"/>
  <c r="K262" i="2" a="1"/>
  <c r="K263" i="2" a="1"/>
  <c r="K264" i="2" a="1"/>
  <c r="K265" i="2" a="1"/>
  <c r="K266" i="2" a="1"/>
  <c r="K267" i="2" a="1"/>
  <c r="K268" i="2" a="1"/>
  <c r="K269" i="2" a="1"/>
  <c r="K270" i="2" a="1"/>
  <c r="K271" i="2" a="1"/>
  <c r="K272" i="2" a="1"/>
  <c r="K273" i="2" a="1"/>
  <c r="K274" i="2" a="1"/>
  <c r="K275" i="2" a="1"/>
  <c r="K276" i="2" a="1"/>
  <c r="K277" i="2" a="1"/>
  <c r="K278" i="2" a="1"/>
  <c r="K279" i="2" a="1"/>
  <c r="K280" i="2" a="1"/>
  <c r="K281" i="2" a="1"/>
  <c r="K282" i="2" a="1"/>
  <c r="K283" i="2" a="1"/>
  <c r="K284" i="2" a="1"/>
  <c r="K285" i="2" a="1"/>
  <c r="K286" i="2" a="1"/>
  <c r="K287" i="2" a="1"/>
  <c r="K288" i="2" a="1"/>
  <c r="K289" i="2" a="1"/>
  <c r="K290" i="2" a="1"/>
  <c r="K291" i="2" a="1"/>
  <c r="K292" i="2" a="1"/>
  <c r="K293" i="2" a="1"/>
  <c r="K294" i="2" a="1"/>
  <c r="K295" i="2" a="1"/>
  <c r="K296" i="2" a="1"/>
  <c r="K297" i="2" a="1"/>
  <c r="K298" i="2" a="1"/>
  <c r="K299" i="2" a="1"/>
  <c r="K300" i="2" a="1"/>
  <c r="K301" i="2" a="1"/>
  <c r="K302" i="2" a="1"/>
  <c r="K303" i="2" a="1"/>
  <c r="K304" i="2" a="1"/>
  <c r="K305" i="2" a="1"/>
  <c r="K306" i="2" a="1"/>
  <c r="K307" i="2" a="1"/>
  <c r="K308" i="2" a="1"/>
  <c r="K309" i="2" a="1"/>
  <c r="K310" i="2" a="1"/>
  <c r="K311" i="2" a="1"/>
  <c r="K312" i="2" a="1"/>
  <c r="K313" i="2" a="1"/>
  <c r="K314" i="2" a="1"/>
  <c r="K315" i="2" a="1"/>
  <c r="K316" i="2" a="1"/>
  <c r="K317" i="2" a="1"/>
  <c r="K318" i="2" a="1"/>
  <c r="K319" i="2" a="1"/>
  <c r="K320" i="2" a="1"/>
  <c r="K321" i="2" a="1"/>
  <c r="K322" i="2" a="1"/>
  <c r="K323" i="2" a="1"/>
  <c r="K324" i="2" a="1"/>
  <c r="K325" i="2" a="1"/>
  <c r="K326" i="2" a="1"/>
  <c r="K327" i="2" a="1"/>
  <c r="K328" i="2" a="1"/>
  <c r="K329" i="2" a="1"/>
  <c r="K330" i="2" a="1"/>
  <c r="K331" i="2" a="1"/>
  <c r="K332" i="2" a="1"/>
  <c r="K333" i="2" a="1"/>
  <c r="K334" i="2" a="1"/>
  <c r="K335" i="2" a="1"/>
  <c r="K336" i="2" a="1"/>
  <c r="K337" i="2" a="1"/>
  <c r="K338" i="2" a="1"/>
  <c r="K339" i="2" a="1"/>
  <c r="K340" i="2" a="1"/>
  <c r="K341" i="2" a="1"/>
  <c r="K342" i="2" a="1"/>
  <c r="K343" i="2" a="1"/>
  <c r="K344" i="2" a="1"/>
  <c r="K345" i="2" a="1"/>
  <c r="K346" i="2" a="1"/>
  <c r="K347" i="2" a="1"/>
  <c r="K348" i="2" a="1"/>
  <c r="K349" i="2" a="1"/>
  <c r="K350" i="2" a="1"/>
  <c r="K351" i="2" a="1"/>
  <c r="K352" i="2" a="1"/>
  <c r="K353" i="2" a="1"/>
  <c r="K354" i="2" a="1"/>
  <c r="K355" i="2" a="1"/>
  <c r="K356" i="2" a="1"/>
  <c r="K357" i="2" a="1"/>
  <c r="K358" i="2" a="1"/>
  <c r="K359" i="2" a="1"/>
  <c r="K360" i="2" a="1"/>
  <c r="K361" i="2" a="1"/>
  <c r="K362" i="2" a="1"/>
  <c r="K363" i="2" a="1"/>
  <c r="K364" i="2" a="1"/>
  <c r="K365" i="2" a="1"/>
  <c r="K366" i="2" a="1"/>
  <c r="K367" i="2" a="1"/>
  <c r="K368" i="2" a="1"/>
  <c r="K369" i="2" a="1"/>
  <c r="K370" i="2" a="1"/>
  <c r="K371" i="2" a="1"/>
  <c r="K372" i="2" a="1"/>
  <c r="K373" i="2" a="1"/>
  <c r="K374" i="2" a="1"/>
  <c r="K375" i="2" a="1"/>
  <c r="K376" i="2" a="1"/>
  <c r="K377" i="2" a="1"/>
  <c r="K378" i="2" a="1"/>
  <c r="K379" i="2" a="1"/>
  <c r="K380" i="2" a="1"/>
  <c r="K381" i="2" a="1"/>
  <c r="K382" i="2" a="1"/>
  <c r="K383" i="2" a="1"/>
  <c r="K384" i="2" a="1"/>
  <c r="K385" i="2" a="1"/>
  <c r="K386" i="2" a="1"/>
  <c r="K387" i="2" a="1"/>
  <c r="K388" i="2" a="1"/>
  <c r="K389" i="2" a="1"/>
  <c r="K390" i="2" a="1"/>
  <c r="K391" i="2" a="1"/>
  <c r="K392" i="2" a="1"/>
  <c r="K393" i="2" a="1"/>
  <c r="K394" i="2" a="1"/>
  <c r="K395" i="2" a="1"/>
  <c r="K396" i="2" a="1"/>
  <c r="K397" i="2" a="1"/>
  <c r="K398" i="2" a="1"/>
  <c r="K399" i="2" a="1"/>
  <c r="K400" i="2" a="1"/>
  <c r="K401" i="2" a="1"/>
  <c r="K402" i="2" a="1"/>
  <c r="K403" i="2" a="1"/>
  <c r="K404" i="2" a="1"/>
  <c r="K405" i="2" a="1"/>
  <c r="K406" i="2" a="1"/>
  <c r="K407" i="2" a="1"/>
  <c r="K408" i="2" a="1"/>
  <c r="K409" i="2" a="1"/>
  <c r="K410" i="2" a="1"/>
  <c r="K411" i="2" a="1"/>
  <c r="K412" i="2" a="1"/>
  <c r="K413" i="2" a="1"/>
  <c r="K414" i="2" a="1"/>
  <c r="K415" i="2" a="1"/>
  <c r="K416" i="2" a="1"/>
  <c r="K417" i="2" a="1"/>
  <c r="K418" i="2" a="1"/>
  <c r="K419" i="2" a="1"/>
  <c r="K420" i="2" a="1"/>
  <c r="K421" i="2" a="1"/>
  <c r="K422" i="2" a="1"/>
  <c r="K423" i="2" a="1"/>
  <c r="K424" i="2" a="1"/>
  <c r="K425" i="2" a="1"/>
  <c r="K426" i="2" a="1"/>
  <c r="K427" i="2" a="1"/>
  <c r="K428" i="2" a="1"/>
  <c r="K429" i="2" a="1"/>
  <c r="K430" i="2" a="1"/>
  <c r="K431" i="2" a="1"/>
  <c r="K432" i="2" a="1"/>
  <c r="K433" i="2" a="1"/>
  <c r="K434" i="2" a="1"/>
  <c r="K435" i="2" a="1"/>
  <c r="K436" i="2" a="1"/>
  <c r="K437" i="2" a="1"/>
  <c r="K438" i="2" a="1"/>
  <c r="K439" i="2" a="1"/>
  <c r="K440" i="2" a="1"/>
  <c r="K441" i="2" a="1"/>
  <c r="K442" i="2" a="1"/>
  <c r="K443" i="2" a="1"/>
  <c r="K444" i="2" a="1"/>
  <c r="K445" i="2" a="1"/>
  <c r="K446" i="2" a="1"/>
  <c r="K447" i="2" a="1"/>
  <c r="K448" i="2" a="1"/>
  <c r="K449" i="2" a="1"/>
  <c r="K450" i="2" a="1"/>
  <c r="K451" i="2" a="1"/>
  <c r="K452" i="2" a="1"/>
  <c r="K453" i="2" a="1"/>
  <c r="K454" i="2" a="1"/>
  <c r="K455" i="2" a="1"/>
  <c r="K456" i="2" a="1"/>
  <c r="K457" i="2" a="1"/>
  <c r="K458" i="2" a="1"/>
  <c r="K459" i="2" a="1"/>
  <c r="K460" i="2" a="1"/>
  <c r="K461" i="2" a="1"/>
  <c r="K462" i="2" a="1"/>
  <c r="K463" i="2" a="1"/>
  <c r="K464" i="2" a="1"/>
  <c r="K465" i="2" a="1"/>
  <c r="K466" i="2" a="1"/>
  <c r="K467" i="2" a="1"/>
  <c r="K468" i="2" a="1"/>
  <c r="K469" i="2" a="1"/>
  <c r="K470" i="2" a="1"/>
  <c r="K471" i="2" a="1"/>
  <c r="K472" i="2" a="1"/>
  <c r="K473" i="2" a="1"/>
  <c r="K474" i="2" a="1"/>
  <c r="K475" i="2" a="1"/>
  <c r="K476" i="2" a="1"/>
  <c r="K477" i="2" a="1"/>
  <c r="K478" i="2" a="1"/>
  <c r="K479" i="2" a="1"/>
  <c r="K480" i="2" a="1"/>
  <c r="K481" i="2" a="1"/>
  <c r="K482" i="2" a="1"/>
  <c r="K483" i="2" a="1"/>
  <c r="K484" i="2" a="1"/>
  <c r="K485" i="2" a="1"/>
  <c r="K486" i="2" a="1"/>
  <c r="K487" i="2" a="1"/>
  <c r="K488" i="2" a="1"/>
  <c r="K489" i="2" a="1"/>
  <c r="K490" i="2" a="1"/>
  <c r="K491" i="2" a="1"/>
  <c r="K492" i="2" a="1"/>
  <c r="K493" i="2" a="1"/>
  <c r="K494" i="2" a="1"/>
  <c r="K495" i="2" a="1"/>
  <c r="K496" i="2" a="1"/>
  <c r="K497" i="2" a="1"/>
  <c r="K498" i="2" a="1"/>
  <c r="K499" i="2" a="1"/>
  <c r="K500" i="2" a="1"/>
  <c r="K501" i="2" a="1"/>
  <c r="K502" i="2" a="1"/>
  <c r="K503" i="2" a="1"/>
  <c r="K504" i="2" a="1"/>
  <c r="K505" i="2" a="1"/>
  <c r="K506" i="2" a="1"/>
  <c r="K507" i="2" a="1"/>
  <c r="K508" i="2" a="1"/>
  <c r="K509" i="2" a="1"/>
  <c r="K510" i="2" a="1"/>
  <c r="K511" i="2" a="1"/>
  <c r="K512" i="2" a="1"/>
  <c r="K513" i="2" a="1"/>
  <c r="K514" i="2" a="1"/>
  <c r="K515" i="2" a="1"/>
  <c r="K516" i="2" a="1"/>
  <c r="K517" i="2" a="1"/>
  <c r="K518" i="2" a="1"/>
  <c r="K519" i="2" a="1"/>
  <c r="K520" i="2" a="1"/>
  <c r="K521" i="2" a="1"/>
  <c r="K522" i="2" a="1"/>
  <c r="K523" i="2" a="1"/>
  <c r="K524" i="2" a="1"/>
  <c r="K525" i="2" a="1"/>
  <c r="K526" i="2" a="1"/>
  <c r="K527" i="2" a="1"/>
  <c r="K528" i="2" a="1"/>
  <c r="K529" i="2" a="1"/>
  <c r="K530" i="2" a="1"/>
  <c r="K531" i="2" a="1"/>
  <c r="K532" i="2" a="1"/>
  <c r="K533" i="2" a="1"/>
  <c r="K534" i="2" a="1"/>
  <c r="K535" i="2" a="1"/>
  <c r="K536" i="2" a="1"/>
  <c r="K537" i="2" a="1"/>
  <c r="K538" i="2" a="1"/>
  <c r="K539" i="2" a="1"/>
  <c r="K540" i="2" a="1"/>
  <c r="K541" i="2" a="1"/>
  <c r="K542" i="2" a="1"/>
  <c r="K543" i="2" a="1"/>
  <c r="K544" i="2" a="1"/>
  <c r="K545" i="2" a="1"/>
  <c r="K546" i="2" a="1"/>
  <c r="K547" i="2" a="1"/>
  <c r="K548" i="2" a="1"/>
  <c r="K549" i="2" a="1"/>
  <c r="K550" i="2" a="1"/>
  <c r="K551" i="2" a="1"/>
  <c r="K552" i="2" a="1"/>
  <c r="K553" i="2" a="1"/>
  <c r="K554" i="2" a="1"/>
  <c r="K555" i="2" a="1"/>
  <c r="K556" i="2" a="1"/>
  <c r="K557" i="2" a="1"/>
  <c r="K558" i="2" a="1"/>
  <c r="K559" i="2" a="1"/>
  <c r="K560" i="2" a="1"/>
  <c r="K561" i="2" a="1"/>
  <c r="K562" i="2" a="1"/>
  <c r="K563" i="2" a="1"/>
  <c r="K564" i="2" a="1"/>
  <c r="K565" i="2" a="1"/>
  <c r="K566" i="2" a="1"/>
  <c r="K567" i="2" a="1"/>
  <c r="K568" i="2" a="1"/>
  <c r="K569" i="2" a="1"/>
  <c r="K570" i="2" a="1"/>
  <c r="K571" i="2" a="1"/>
  <c r="K572" i="2" a="1"/>
  <c r="K573" i="2" a="1"/>
  <c r="K574" i="2" a="1"/>
  <c r="K575" i="2" a="1"/>
  <c r="K576" i="2" a="1"/>
  <c r="K577" i="2" a="1"/>
  <c r="K578" i="2" a="1"/>
  <c r="K579" i="2" a="1"/>
  <c r="K580" i="2" a="1"/>
  <c r="K581" i="2" a="1"/>
  <c r="K582" i="2" a="1"/>
  <c r="K583" i="2" a="1"/>
  <c r="K584" i="2" a="1"/>
  <c r="K585" i="2" a="1"/>
  <c r="K586" i="2" a="1"/>
  <c r="K587" i="2" a="1"/>
  <c r="K588" i="2" a="1"/>
  <c r="K589" i="2" a="1"/>
  <c r="K590" i="2" a="1"/>
  <c r="K591" i="2" a="1"/>
  <c r="K592" i="2" a="1"/>
  <c r="K593" i="2" a="1"/>
  <c r="K594" i="2" a="1"/>
  <c r="K595" i="2" a="1"/>
  <c r="K596" i="2" a="1"/>
  <c r="K597" i="2" a="1"/>
  <c r="K598" i="2" a="1"/>
  <c r="K599" i="2" a="1"/>
  <c r="K600" i="2" a="1"/>
  <c r="K601" i="2" a="1"/>
  <c r="K602" i="2" a="1"/>
  <c r="K603" i="2" a="1"/>
  <c r="K604" i="2" a="1"/>
  <c r="K605" i="2" a="1"/>
  <c r="K606" i="2" a="1"/>
  <c r="K607" i="2" a="1"/>
  <c r="K608" i="2" a="1"/>
  <c r="K609" i="2" a="1"/>
  <c r="K610" i="2" a="1"/>
  <c r="K611" i="2" a="1"/>
  <c r="K612" i="2" a="1"/>
  <c r="K613" i="2" a="1"/>
  <c r="K614" i="2" a="1"/>
  <c r="K615" i="2" a="1"/>
  <c r="K616" i="2" a="1"/>
  <c r="K617" i="2" a="1"/>
  <c r="K618" i="2" a="1"/>
  <c r="K619" i="2" a="1"/>
  <c r="K620" i="2" a="1"/>
  <c r="K621" i="2" a="1"/>
  <c r="K622" i="2" a="1"/>
  <c r="K623" i="2" a="1"/>
  <c r="K624" i="2" a="1"/>
  <c r="K625" i="2" a="1"/>
  <c r="K626" i="2" a="1"/>
  <c r="K627" i="2" a="1"/>
  <c r="K628" i="2" a="1"/>
  <c r="K629" i="2" a="1"/>
  <c r="K630" i="2" a="1"/>
  <c r="K631" i="2" a="1"/>
  <c r="K632" i="2" a="1"/>
  <c r="K633" i="2" a="1"/>
  <c r="K634" i="2" a="1"/>
  <c r="K635" i="2" a="1"/>
  <c r="K636" i="2" a="1"/>
  <c r="K637" i="2" a="1"/>
  <c r="K638" i="2" a="1"/>
  <c r="K639" i="2" a="1"/>
  <c r="K640" i="2" a="1"/>
  <c r="K641" i="2" a="1"/>
  <c r="K642" i="2" a="1"/>
  <c r="K643" i="2" a="1"/>
  <c r="K644" i="2" a="1"/>
  <c r="K645" i="2" a="1"/>
  <c r="K646" i="2" a="1"/>
  <c r="K647" i="2" a="1"/>
  <c r="K648" i="2" a="1"/>
  <c r="K649" i="2" a="1"/>
  <c r="K650" i="2" a="1"/>
  <c r="K651" i="2" a="1"/>
  <c r="K652" i="2" a="1"/>
  <c r="K653" i="2" a="1"/>
  <c r="K654" i="2" a="1"/>
  <c r="K655" i="2" a="1"/>
  <c r="K656" i="2" a="1"/>
  <c r="K657" i="2" a="1"/>
  <c r="K658" i="2" a="1"/>
  <c r="K659" i="2" a="1"/>
  <c r="K660" i="2" a="1"/>
  <c r="K661" i="2" a="1"/>
  <c r="K662" i="2" a="1"/>
  <c r="K663" i="2" a="1"/>
  <c r="K664" i="2" a="1"/>
  <c r="K665" i="2" a="1"/>
  <c r="K666" i="2" a="1"/>
  <c r="K667" i="2" a="1"/>
  <c r="K668" i="2" a="1"/>
  <c r="K669" i="2" a="1"/>
  <c r="K670" i="2" a="1"/>
  <c r="K671" i="2" a="1"/>
  <c r="K672" i="2" a="1"/>
  <c r="K673" i="2" a="1"/>
  <c r="K674" i="2" a="1"/>
  <c r="K675" i="2" a="1"/>
  <c r="K676" i="2" a="1"/>
  <c r="K677" i="2" a="1"/>
  <c r="K678" i="2" a="1"/>
  <c r="K679" i="2" a="1"/>
  <c r="K680" i="2" a="1"/>
  <c r="K681" i="2" a="1"/>
  <c r="K682" i="2" a="1"/>
  <c r="K683" i="2" a="1"/>
  <c r="K684" i="2" a="1"/>
  <c r="K685" i="2" a="1"/>
  <c r="K686" i="2" a="1"/>
  <c r="K687" i="2" a="1"/>
  <c r="K688" i="2" a="1"/>
  <c r="K689" i="2" a="1"/>
  <c r="K690" i="2" a="1"/>
  <c r="K691" i="2" a="1"/>
  <c r="K692" i="2" a="1"/>
  <c r="K693" i="2" a="1"/>
  <c r="K694" i="2" a="1"/>
  <c r="K695" i="2" a="1"/>
  <c r="K696" i="2" a="1"/>
  <c r="K697" i="2" a="1"/>
  <c r="K698" i="2" a="1"/>
  <c r="K699" i="2" a="1"/>
  <c r="K700" i="2" a="1"/>
  <c r="K701" i="2" a="1"/>
  <c r="K702" i="2" a="1"/>
  <c r="K703" i="2" a="1"/>
  <c r="K704" i="2" a="1"/>
  <c r="K705" i="2" a="1"/>
  <c r="K706" i="2" a="1"/>
  <c r="K707" i="2" a="1"/>
  <c r="K708" i="2" a="1"/>
  <c r="K709" i="2" a="1"/>
  <c r="K710" i="2" a="1"/>
  <c r="K711" i="2" a="1"/>
  <c r="K712" i="2" a="1"/>
  <c r="K713" i="2" a="1"/>
  <c r="K714" i="2" a="1"/>
  <c r="K715" i="2" a="1"/>
  <c r="K716" i="2" a="1"/>
  <c r="K717" i="2" a="1"/>
  <c r="K718" i="2" a="1"/>
  <c r="K719" i="2" a="1"/>
  <c r="K720" i="2" a="1"/>
  <c r="K721" i="2" a="1"/>
  <c r="K722" i="2" a="1"/>
  <c r="K723" i="2" a="1"/>
  <c r="K724" i="2" a="1"/>
  <c r="K725" i="2" a="1"/>
  <c r="K726" i="2" a="1"/>
  <c r="K727" i="2" a="1"/>
  <c r="K728" i="2" a="1"/>
  <c r="K729" i="2" a="1"/>
  <c r="K730" i="2" a="1"/>
  <c r="K731" i="2" a="1"/>
  <c r="K732" i="2" a="1"/>
  <c r="K733" i="2" a="1"/>
  <c r="K734" i="2" a="1"/>
  <c r="K735" i="2" a="1"/>
  <c r="K736" i="2" a="1"/>
  <c r="K737" i="2" a="1"/>
  <c r="K738" i="2" a="1"/>
  <c r="K739" i="2" a="1"/>
  <c r="K740" i="2" a="1"/>
  <c r="K741" i="2" a="1"/>
  <c r="K742" i="2" a="1"/>
  <c r="K743" i="2" a="1"/>
  <c r="K744" i="2" a="1"/>
  <c r="K745" i="2" a="1"/>
  <c r="K746" i="2" a="1"/>
  <c r="K747" i="2" a="1"/>
  <c r="K748" i="2" a="1"/>
  <c r="K749" i="2" a="1"/>
  <c r="K750" i="2" a="1"/>
  <c r="K751" i="2" a="1"/>
  <c r="K752" i="2" a="1"/>
  <c r="K753" i="2" a="1"/>
  <c r="K754" i="2" a="1"/>
  <c r="K755" i="2" a="1"/>
  <c r="K756" i="2" a="1"/>
  <c r="K757" i="2" a="1"/>
  <c r="K758" i="2" a="1"/>
  <c r="K759" i="2" a="1"/>
  <c r="K760" i="2" a="1"/>
  <c r="K761" i="2" a="1"/>
  <c r="K762" i="2" a="1"/>
  <c r="K763" i="2" a="1"/>
  <c r="K764" i="2" a="1"/>
  <c r="K765" i="2" a="1"/>
  <c r="K766" i="2" a="1"/>
  <c r="K767" i="2" a="1"/>
  <c r="K768" i="2" a="1"/>
  <c r="K769" i="2" a="1"/>
  <c r="K770" i="2" a="1"/>
  <c r="K771" i="2" a="1"/>
  <c r="K772" i="2" a="1"/>
  <c r="K773" i="2" a="1"/>
  <c r="K774" i="2" a="1"/>
  <c r="K775" i="2" a="1"/>
  <c r="K776" i="2" a="1"/>
  <c r="K777" i="2" a="1"/>
  <c r="K778" i="2" a="1"/>
  <c r="K779" i="2" a="1"/>
  <c r="K780" i="2" a="1"/>
  <c r="K781" i="2" a="1"/>
  <c r="K782" i="2" a="1"/>
  <c r="K783" i="2" a="1"/>
  <c r="K784" i="2" a="1"/>
  <c r="K785" i="2" a="1"/>
  <c r="K786" i="2" a="1"/>
  <c r="K787" i="2" a="1"/>
  <c r="K788" i="2" a="1"/>
  <c r="K789" i="2" a="1"/>
  <c r="K790" i="2" a="1"/>
  <c r="K791" i="2" a="1"/>
  <c r="K792" i="2" a="1"/>
  <c r="K793" i="2" a="1"/>
  <c r="K794" i="2" a="1"/>
  <c r="K795" i="2" a="1"/>
  <c r="K796" i="2" a="1"/>
  <c r="K797" i="2" a="1"/>
  <c r="K798" i="2" a="1"/>
  <c r="K799" i="2" a="1"/>
  <c r="K800" i="2" a="1"/>
  <c r="K801" i="2" a="1"/>
  <c r="K802" i="2" a="1"/>
  <c r="K803" i="2" a="1"/>
  <c r="K804" i="2" a="1"/>
  <c r="K805" i="2" a="1"/>
  <c r="K806" i="2" a="1"/>
  <c r="K807" i="2" a="1"/>
  <c r="K808" i="2" a="1"/>
  <c r="K809" i="2" a="1"/>
  <c r="K810" i="2" a="1"/>
  <c r="K811" i="2" a="1"/>
  <c r="K812" i="2" a="1"/>
  <c r="K813" i="2" a="1"/>
  <c r="K814" i="2" a="1"/>
  <c r="K815" i="2" a="1"/>
  <c r="K816" i="2" a="1"/>
  <c r="K817" i="2" a="1"/>
  <c r="K818" i="2" a="1"/>
  <c r="K819" i="2" a="1"/>
  <c r="K820" i="2" a="1"/>
  <c r="K821" i="2" a="1"/>
  <c r="K822" i="2" a="1"/>
  <c r="K823" i="2" a="1"/>
  <c r="K824" i="2" a="1"/>
  <c r="K825" i="2" a="1"/>
  <c r="K826" i="2" a="1"/>
  <c r="K827" i="2" a="1"/>
  <c r="K828" i="2" a="1"/>
  <c r="K829" i="2" a="1"/>
  <c r="K830" i="2" a="1"/>
  <c r="K831" i="2" a="1"/>
  <c r="K832" i="2" a="1"/>
  <c r="K833" i="2" a="1"/>
  <c r="K834" i="2" a="1"/>
  <c r="K835" i="2" a="1"/>
  <c r="K836" i="2" a="1"/>
  <c r="K837" i="2" a="1"/>
  <c r="K838" i="2" a="1"/>
  <c r="K839" i="2" a="1"/>
  <c r="K840" i="2" a="1"/>
  <c r="K841" i="2" a="1"/>
  <c r="K842" i="2" a="1"/>
  <c r="K843" i="2" a="1"/>
  <c r="K844" i="2" a="1"/>
  <c r="K845" i="2" a="1"/>
  <c r="K846" i="2" a="1"/>
  <c r="K847" i="2" a="1"/>
  <c r="K848" i="2" a="1"/>
  <c r="K849" i="2" a="1"/>
  <c r="K850" i="2" a="1"/>
  <c r="K851" i="2" a="1"/>
  <c r="K852" i="2" a="1"/>
  <c r="K853" i="2" a="1"/>
  <c r="K854" i="2" a="1"/>
  <c r="K855" i="2" a="1"/>
  <c r="K856" i="2" a="1"/>
  <c r="K857" i="2" a="1"/>
  <c r="K858" i="2" a="1"/>
  <c r="K859" i="2" a="1"/>
  <c r="K860" i="2" a="1"/>
  <c r="K861" i="2" a="1"/>
  <c r="K862" i="2" a="1"/>
  <c r="K863" i="2" a="1"/>
  <c r="K864" i="2" a="1"/>
  <c r="K865" i="2" a="1"/>
  <c r="K866" i="2" a="1"/>
  <c r="K867" i="2" a="1"/>
  <c r="K868" i="2" a="1"/>
  <c r="K869" i="2" a="1"/>
  <c r="K870" i="2" a="1"/>
  <c r="K871" i="2" a="1"/>
  <c r="K872" i="2" a="1"/>
  <c r="K873" i="2" a="1"/>
  <c r="K874" i="2" a="1"/>
  <c r="K875" i="2" a="1"/>
  <c r="K876" i="2" a="1"/>
  <c r="K877" i="2" a="1"/>
  <c r="K878" i="2" a="1"/>
  <c r="K879" i="2" a="1"/>
  <c r="K880" i="2" a="1"/>
  <c r="K881" i="2" a="1"/>
  <c r="K882" i="2" a="1"/>
  <c r="K883" i="2" a="1"/>
  <c r="K884" i="2" a="1"/>
  <c r="K885" i="2" a="1"/>
  <c r="K886" i="2" a="1"/>
  <c r="K887" i="2" a="1"/>
  <c r="K888" i="2" a="1"/>
  <c r="K889" i="2" a="1"/>
  <c r="K890" i="2" a="1"/>
  <c r="K891" i="2" a="1"/>
  <c r="K892" i="2" a="1"/>
  <c r="K893" i="2" a="1"/>
  <c r="K894" i="2" a="1"/>
  <c r="K895" i="2" a="1"/>
  <c r="K896" i="2" a="1"/>
  <c r="K897" i="2" a="1"/>
  <c r="K898" i="2" a="1"/>
  <c r="K899" i="2" a="1"/>
  <c r="K900" i="2" a="1"/>
  <c r="K901" i="2" a="1"/>
  <c r="K902" i="2" a="1"/>
  <c r="K903" i="2" a="1"/>
  <c r="K904" i="2" a="1"/>
  <c r="K905" i="2" a="1"/>
  <c r="K906" i="2" a="1"/>
  <c r="K907" i="2" a="1"/>
  <c r="K908" i="2" a="1"/>
  <c r="K909" i="2" a="1"/>
  <c r="K910" i="2" a="1"/>
  <c r="K911" i="2" a="1"/>
  <c r="K912" i="2" a="1"/>
  <c r="K913" i="2" a="1"/>
  <c r="K914" i="2" a="1"/>
  <c r="K915" i="2" a="1"/>
  <c r="K916" i="2" a="1"/>
  <c r="K917" i="2" a="1"/>
  <c r="K918" i="2" a="1"/>
  <c r="K919" i="2" a="1"/>
  <c r="K920" i="2" a="1"/>
  <c r="K921" i="2" a="1"/>
  <c r="K922" i="2" a="1"/>
  <c r="K923" i="2" a="1"/>
  <c r="K924" i="2" a="1"/>
  <c r="K925" i="2" a="1"/>
  <c r="K926" i="2" a="1"/>
  <c r="K927" i="2" a="1"/>
  <c r="K928" i="2" a="1"/>
  <c r="K929" i="2" a="1"/>
  <c r="K930" i="2" a="1"/>
  <c r="K931" i="2" a="1"/>
  <c r="K932" i="2" a="1"/>
  <c r="K933" i="2" a="1"/>
  <c r="K934" i="2" a="1"/>
  <c r="K935" i="2" a="1"/>
  <c r="K936" i="2" a="1"/>
  <c r="K937" i="2" a="1"/>
  <c r="K938" i="2" a="1"/>
  <c r="K939" i="2" a="1"/>
  <c r="K940" i="2" a="1"/>
  <c r="K941" i="2" a="1"/>
  <c r="K942" i="2" a="1"/>
  <c r="K943" i="2" a="1"/>
  <c r="K944" i="2" a="1"/>
  <c r="K945" i="2" a="1"/>
  <c r="K946" i="2" a="1"/>
  <c r="K947" i="2" a="1"/>
  <c r="K948" i="2" a="1"/>
  <c r="K949" i="2" a="1"/>
  <c r="K950" i="2" a="1"/>
  <c r="K951" i="2" a="1"/>
  <c r="K952" i="2" a="1"/>
  <c r="K953" i="2" a="1"/>
  <c r="K954" i="2" a="1"/>
  <c r="K955" i="2" a="1"/>
  <c r="K956" i="2" a="1"/>
  <c r="K957" i="2" a="1"/>
  <c r="K958" i="2" a="1"/>
  <c r="K959" i="2" a="1"/>
  <c r="K960" i="2" a="1"/>
  <c r="K961" i="2" a="1"/>
  <c r="K962" i="2" a="1"/>
  <c r="K963" i="2" a="1"/>
  <c r="K964" i="2" a="1"/>
  <c r="K965" i="2" a="1"/>
  <c r="K966" i="2" a="1"/>
  <c r="K967" i="2" a="1"/>
  <c r="K968" i="2" a="1"/>
  <c r="K969" i="2" a="1"/>
  <c r="K970" i="2" a="1"/>
  <c r="K971" i="2" a="1"/>
  <c r="K972" i="2" a="1"/>
  <c r="K973" i="2" a="1"/>
  <c r="K974" i="2" a="1"/>
  <c r="K975" i="2" a="1"/>
  <c r="K976" i="2" a="1"/>
  <c r="K977" i="2" a="1"/>
  <c r="K978" i="2" a="1"/>
  <c r="K979" i="2" a="1"/>
  <c r="K980" i="2" a="1"/>
  <c r="K981" i="2" a="1"/>
  <c r="K982" i="2" a="1"/>
  <c r="K983" i="2" a="1"/>
  <c r="K984" i="2" a="1"/>
  <c r="K985" i="2" a="1"/>
  <c r="K986" i="2" a="1"/>
  <c r="K987" i="2" a="1"/>
  <c r="K988" i="2" a="1"/>
  <c r="K989" i="2" a="1"/>
  <c r="K990" i="2" a="1"/>
  <c r="K991" i="2" a="1"/>
  <c r="K992" i="2" a="1"/>
  <c r="K993" i="2" a="1"/>
  <c r="K994" i="2" a="1"/>
  <c r="K995" i="2" a="1"/>
  <c r="K996" i="2" a="1"/>
  <c r="K997" i="2" a="1"/>
  <c r="K998" i="2" a="1"/>
  <c r="K999" i="2" a="1"/>
  <c r="K1000" i="2" a="1"/>
  <c r="K1001" i="2" a="1"/>
  <c r="K1002" i="2" a="1"/>
  <c r="K1003" i="2" a="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1" i="7" l="1"/>
  <c r="H41"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71C279-A892-4E45-AFEF-FC23CECCC89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F121E3A-851E-4A4B-954C-DA658148CBB1}"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9E6843AE-C736-4140-B729-B17EBEB72CB8}"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<sst xmlns="http://schemas.openxmlformats.org/spreadsheetml/2006/main" count="3159" uniqueCount="1076">
  <si>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</si>
  <si>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</si>
  <si>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</si>
  <si>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</si>
  <si>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</si>
  <si>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</si>
  <si>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</si>
  <si>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</si>
  <si>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</si>
  <si>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</si>
  <si>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</si>
  <si>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</si>
  <si>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</si>
  <si>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</si>
  <si>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</si>
  <si>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</si>
  <si>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</si>
  <si>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</si>
  <si>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</si>
  <si>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</si>
  <si>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</si>
  <si>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</si>
  <si>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</si>
  <si>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</si>
  <si>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</si>
  <si>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</si>
  <si>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</si>
  <si>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</si>
  <si>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</si>
  <si>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</si>
  <si>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</si>
  <si>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</si>
  <si>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</si>
  <si>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</si>
  <si>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</si>
  <si>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</si>
  <si>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</si>
  <si>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</si>
  <si>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</si>
  <si>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</si>
  <si>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</si>
  <si>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</si>
  <si>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</si>
  <si>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</si>
  <si>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</si>
  <si>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</si>
  <si>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</si>
  <si>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</si>
  <si>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</si>
  <si>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</si>
  <si>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</si>
  <si>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</si>
  <si>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</si>
  <si>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</si>
  <si>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</si>
  <si>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</si>
  <si>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</si>
  <si>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</si>
  <si>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</si>
  <si>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</si>
  <si>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</si>
  <si>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</si>
  <si>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</si>
  <si>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</si>
  <si>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</si>
  <si>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</si>
  <si>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</si>
  <si>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</si>
  <si>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</si>
  <si>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</si>
  <si>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</si>
  <si>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</si>
  <si>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</si>
  <si>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</si>
  <si>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</si>
  <si>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</si>
  <si>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</si>
  <si>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</si>
  <si>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</si>
  <si>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</si>
  <si>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</si>
  <si>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</si>
  <si>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</si>
  <si>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</si>
  <si>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</si>
  <si>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</si>
  <si>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</si>
  <si>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</si>
  <si>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</si>
  <si>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</si>
  <si>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</si>
  <si>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</si>
  <si>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</si>
  <si>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</si>
  <si>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</si>
  <si>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</si>
  <si>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</si>
  <si>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</si>
  <si>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</si>
  <si>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</si>
  <si>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</si>
  <si>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</si>
  <si>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</si>
  <si>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</si>
  <si>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</si>
  <si>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</si>
  <si>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</si>
  <si>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</si>
  <si>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</si>
  <si>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</si>
  <si>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</si>
  <si>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</si>
  <si>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</si>
  <si>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</si>
  <si>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</si>
  <si>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</si>
  <si>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</si>
  <si>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</si>
  <si>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</si>
  <si>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</si>
  <si>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</si>
  <si>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</si>
  <si>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</si>
  <si>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</si>
  <si>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</si>
  <si>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</si>
  <si>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</si>
  <si>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</si>
  <si>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</si>
  <si>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</si>
  <si>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</si>
  <si>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</si>
  <si>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</si>
  <si>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</si>
  <si>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</si>
  <si>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</si>
  <si>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</si>
  <si>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</si>
  <si>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</si>
  <si>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</si>
  <si>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</si>
  <si>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</si>
  <si>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</si>
  <si>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</si>
  <si>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</si>
  <si>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</si>
  <si>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</si>
  <si>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</si>
  <si>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</si>
  <si>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</si>
  <si>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</si>
  <si>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</si>
  <si>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</si>
  <si>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</si>
  <si>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</si>
  <si>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</si>
  <si>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</si>
  <si>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</si>
  <si>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</si>
  <si>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</si>
  <si>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</si>
  <si>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</si>
  <si>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</si>
  <si>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</si>
  <si>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</si>
  <si>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</si>
  <si>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</si>
  <si>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</si>
  <si>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</si>
  <si>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</si>
  <si>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</si>
  <si>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</si>
  <si>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</si>
  <si>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</si>
  <si>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</si>
  <si>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</si>
  <si>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</si>
  <si>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</si>
  <si>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</si>
  <si>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</si>
  <si>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</si>
  <si>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</si>
  <si>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</si>
  <si>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</si>
  <si>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</si>
  <si>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</si>
  <si>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</si>
  <si>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</si>
  <si>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</si>
  <si>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</si>
  <si>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</si>
  <si>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</si>
  <si>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</si>
  <si>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</si>
  <si>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</si>
  <si>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</si>
  <si>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</si>
  <si>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</si>
  <si>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</si>
  <si>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</si>
  <si>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</si>
  <si>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</si>
  <si>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</si>
  <si>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</si>
  <si>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</si>
  <si>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</si>
  <si>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</si>
  <si>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</si>
  <si>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</si>
  <si>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</si>
  <si>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</si>
  <si>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</si>
  <si>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</si>
  <si>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</si>
  <si>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</si>
  <si>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</si>
  <si>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</si>
  <si>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</si>
  <si>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</si>
  <si>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</si>
  <si>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</si>
  <si>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</si>
  <si>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</si>
  <si>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</si>
  <si>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</si>
  <si>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</si>
  <si>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</si>
  <si>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</si>
  <si>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</si>
  <si>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</si>
  <si>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</si>
  <si>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</si>
  <si>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</si>
  <si>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</si>
  <si>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</si>
  <si>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</si>
  <si>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</si>
  <si>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</si>
  <si>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</si>
  <si>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</si>
  <si>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</si>
  <si>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</si>
  <si>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</si>
  <si>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</si>
  <si>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</si>
  <si>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</si>
  <si>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</si>
  <si>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</si>
  <si>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</si>
  <si>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</si>
  <si>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</si>
  <si>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</si>
  <si>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</si>
  <si>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</si>
  <si>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</si>
  <si>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</si>
  <si>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</si>
  <si>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</si>
  <si>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</si>
  <si>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</si>
  <si>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</si>
  <si>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</si>
  <si>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</si>
  <si>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</si>
  <si>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</si>
  <si>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</si>
  <si>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</si>
  <si>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</si>
  <si>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</si>
  <si>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</si>
  <si>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</si>
  <si>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</si>
  <si>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</si>
  <si>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</si>
  <si>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</si>
  <si>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</si>
  <si>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</si>
  <si>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</si>
  <si>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</si>
  <si>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</si>
  <si>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</si>
  <si>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</si>
  <si>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</si>
  <si>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</si>
  <si>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</si>
  <si>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</si>
  <si>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</si>
  <si>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</si>
  <si>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</si>
  <si>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</si>
  <si>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</si>
  <si>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</si>
  <si>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</si>
  <si>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</si>
  <si>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</si>
  <si>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</si>
  <si>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</si>
  <si>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</si>
  <si>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</si>
  <si>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</si>
  <si>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</si>
  <si>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</si>
  <si>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</si>
  <si>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</si>
  <si>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</si>
  <si>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</si>
  <si>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</si>
  <si>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</si>
  <si>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</si>
  <si>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</si>
  <si>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</si>
  <si>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</si>
  <si>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</si>
  <si>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</si>
  <si>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</si>
  <si>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</si>
  <si>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</si>
  <si>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</si>
  <si>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</si>
  <si>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</si>
  <si>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</si>
  <si>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</si>
  <si>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</si>
  <si>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</si>
  <si>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</si>
  <si>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</si>
  <si>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</si>
  <si>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</si>
  <si>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</si>
  <si>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</si>
  <si>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</si>
  <si>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</si>
  <si>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</si>
  <si>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</si>
  <si>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</si>
  <si>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</si>
  <si>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</si>
  <si>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</si>
  <si>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</si>
  <si>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</si>
  <si>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</si>
  <si>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</si>
  <si>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</si>
  <si>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</si>
  <si>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</si>
  <si>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</si>
  <si>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</si>
  <si>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</si>
  <si>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</si>
  <si>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</si>
  <si>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</si>
  <si>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</si>
  <si>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</si>
  <si>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</si>
  <si>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</si>
  <si>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</si>
  <si>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</si>
  <si>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</si>
  <si>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</si>
  <si>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</si>
  <si>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</si>
  <si>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</si>
  <si>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</si>
  <si>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</si>
  <si>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</si>
  <si>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</si>
  <si>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</si>
  <si>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</si>
  <si>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</si>
  <si>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</si>
  <si>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</si>
  <si>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</si>
  <si>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</si>
  <si>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</si>
  <si>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</si>
  <si>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</si>
  <si>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</si>
  <si>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</si>
  <si>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</si>
  <si>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</si>
  <si>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</si>
  <si>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</si>
  <si>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</si>
  <si>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</si>
  <si>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</si>
  <si>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</si>
  <si>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</si>
  <si>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</si>
  <si>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</si>
  <si>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</si>
  <si>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</si>
  <si>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</si>
  <si>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</si>
  <si>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</si>
  <si>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</si>
  <si>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</si>
  <si>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</si>
  <si>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</si>
  <si>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</si>
  <si>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</si>
  <si>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</si>
  <si>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</si>
  <si>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</si>
  <si>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</si>
  <si>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</si>
  <si>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</si>
  <si>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</si>
  <si>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</si>
  <si>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</si>
  <si>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</si>
  <si>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</si>
  <si>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</si>
  <si>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</si>
  <si>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</si>
  <si>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</si>
  <si>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</si>
  <si>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</si>
  <si>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</si>
  <si>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</si>
  <si>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</si>
  <si>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</si>
  <si>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</si>
  <si>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</si>
  <si>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</si>
  <si>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</si>
  <si>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</si>
  <si>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</si>
  <si>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</si>
  <si>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</si>
  <si>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</si>
  <si>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</si>
  <si>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</si>
  <si>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</si>
  <si>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</si>
  <si>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</si>
  <si>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</si>
  <si>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</si>
  <si>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</si>
  <si>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</si>
  <si>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</si>
  <si>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</si>
  <si>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</si>
  <si>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</si>
  <si>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</si>
  <si>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</si>
  <si>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</si>
  <si>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</si>
  <si>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</si>
  <si>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</si>
  <si>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</si>
  <si>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</si>
  <si>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</si>
  <si>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</si>
  <si>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</si>
  <si>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</si>
  <si>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</si>
  <si>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</si>
  <si>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</si>
  <si>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</si>
  <si>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</si>
  <si>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</si>
  <si>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</si>
  <si>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</si>
  <si>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</si>
  <si>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</si>
  <si>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</si>
  <si>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</si>
  <si>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</si>
  <si>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</si>
  <si>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</si>
  <si>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</si>
  <si>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</si>
  <si>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</si>
  <si>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</si>
  <si>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</si>
  <si>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</si>
  <si>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</si>
  <si>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</si>
  <si>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</si>
  <si>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</si>
  <si>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</si>
  <si>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</si>
  <si>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</si>
  <si>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</si>
  <si>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</si>
  <si>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</si>
  <si>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</si>
  <si>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</si>
  <si>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</si>
  <si>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</si>
  <si>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</si>
  <si>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</si>
  <si>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</si>
  <si>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</si>
  <si>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</si>
  <si>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</si>
  <si>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</si>
  <si>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</si>
  <si>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</si>
  <si>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</si>
  <si>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</si>
  <si>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</si>
  <si>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</si>
  <si>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</si>
  <si>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</si>
  <si>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</si>
  <si>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</si>
  <si>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</si>
  <si>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</si>
  <si>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</si>
  <si>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</si>
  <si>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</si>
  <si>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</si>
  <si>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</si>
  <si>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</si>
  <si>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</si>
  <si>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</si>
  <si>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</si>
  <si>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</si>
  <si>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</si>
  <si>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</si>
  <si>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</si>
  <si>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</si>
  <si>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</si>
  <si>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</si>
  <si>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</si>
  <si>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</si>
  <si>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</si>
  <si>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</si>
  <si>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</si>
  <si>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</si>
  <si>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</si>
  <si>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</si>
  <si>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</si>
  <si>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</si>
  <si>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</si>
  <si>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</si>
  <si>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</si>
  <si>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</si>
  <si>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</si>
  <si>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</si>
  <si>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</si>
  <si>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</si>
  <si>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</si>
  <si>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</si>
  <si>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</si>
  <si>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</si>
  <si>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</si>
  <si>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</si>
  <si>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</si>
  <si>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</si>
  <si>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</si>
  <si>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</si>
  <si>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</si>
  <si>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</si>
  <si>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</si>
  <si>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</si>
  <si>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</si>
  <si>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</si>
  <si>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</si>
  <si>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</si>
  <si>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</si>
  <si>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</si>
  <si>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</si>
  <si>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</si>
  <si>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</si>
  <si>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</si>
  <si>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</si>
  <si>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</si>
  <si>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</si>
  <si>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</si>
  <si>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</si>
  <si>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</si>
  <si>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</si>
  <si>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</si>
  <si>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</si>
  <si>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</si>
  <si>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</si>
  <si>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</si>
  <si>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</si>
  <si>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</si>
  <si>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</si>
  <si>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</si>
  <si>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</si>
  <si>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</si>
  <si>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</si>
  <si>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</si>
  <si>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</si>
  <si>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</si>
  <si>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</si>
  <si>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</si>
  <si>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</si>
  <si>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</si>
  <si>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</si>
  <si>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</si>
  <si>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</si>
  <si>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</si>
  <si>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</si>
  <si>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</si>
  <si>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</si>
  <si>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</si>
  <si>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</si>
  <si>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</si>
  <si>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</si>
  <si>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</si>
  <si>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</si>
  <si>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</si>
  <si>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</si>
  <si>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</si>
  <si>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</si>
  <si>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</si>
  <si>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</si>
  <si>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</si>
  <si>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</si>
  <si>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</si>
  <si>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</si>
  <si>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</si>
  <si>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</si>
  <si>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</si>
  <si>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</si>
  <si>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</si>
  <si>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</si>
  <si>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</si>
  <si>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</si>
  <si>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</si>
  <si>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</si>
  <si>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</si>
  <si>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</si>
  <si>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</si>
  <si>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</si>
  <si>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</si>
  <si>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</si>
  <si>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</si>
  <si>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</si>
  <si>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</si>
  <si>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</si>
  <si>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</si>
  <si>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</si>
  <si>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</si>
  <si>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</si>
  <si>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</si>
  <si>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</si>
  <si>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</si>
  <si>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</si>
  <si>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</si>
  <si>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</si>
  <si>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</si>
  <si>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</si>
  <si>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</si>
  <si>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</si>
  <si>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</si>
  <si>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</si>
  <si>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</si>
  <si>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</si>
  <si>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</si>
  <si>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</si>
  <si>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</si>
  <si>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</si>
  <si>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</si>
  <si>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</si>
  <si>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</si>
  <si>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</si>
  <si>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</si>
  <si>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</si>
  <si>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</si>
  <si>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</si>
  <si>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</si>
  <si>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</si>
  <si>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</si>
  <si>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</si>
  <si>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</si>
  <si>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</si>
  <si>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</si>
  <si>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</si>
  <si>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</si>
  <si>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</si>
  <si>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</si>
  <si>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</si>
  <si>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</si>
  <si>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</si>
  <si>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</si>
  <si>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</si>
  <si>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</si>
  <si>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</si>
  <si>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</si>
  <si>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</si>
  <si>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</si>
  <si>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</si>
  <si>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</si>
  <si>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</si>
  <si>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</si>
  <si>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</si>
  <si>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</si>
  <si>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</si>
  <si>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</si>
  <si>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</si>
  <si>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</si>
  <si>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</si>
  <si>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</si>
  <si>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</si>
  <si>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</si>
  <si>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</si>
  <si>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</si>
  <si>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</si>
  <si>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</si>
  <si>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</si>
  <si>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</si>
  <si>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</si>
  <si>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</si>
  <si>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</si>
  <si>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</si>
  <si>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</si>
  <si>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</si>
  <si>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</si>
  <si>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</si>
  <si>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</si>
  <si>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</si>
  <si>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</si>
  <si>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</si>
  <si>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</si>
  <si>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</si>
  <si>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</si>
  <si>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</si>
  <si>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</si>
  <si>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</si>
  <si>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</si>
  <si>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</si>
  <si>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</si>
  <si>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</si>
  <si>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</si>
  <si>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</si>
  <si>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</si>
  <si>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</si>
  <si>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</si>
  <si>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</si>
  <si>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</si>
  <si>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</si>
  <si>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</si>
  <si>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</si>
  <si>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</si>
  <si>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</si>
  <si>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</si>
  <si>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</si>
  <si>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</si>
  <si>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</si>
  <si>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</si>
  <si>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</si>
  <si>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</si>
  <si>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</si>
  <si>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</si>
  <si>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</si>
  <si>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</si>
  <si>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</si>
  <si>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</si>
  <si>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</si>
  <si>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</si>
  <si>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</si>
  <si>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</si>
  <si>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</si>
  <si>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</si>
  <si>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</si>
  <si>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</si>
  <si>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</si>
  <si>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</si>
  <si>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</si>
  <si>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</si>
  <si>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</si>
  <si>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</si>
  <si>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</si>
  <si>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</si>
  <si>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</si>
  <si>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</si>
  <si>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</si>
  <si>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</si>
  <si>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</si>
  <si>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</si>
  <si>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</si>
  <si>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</si>
  <si>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</si>
  <si>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</si>
  <si>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</si>
  <si>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</si>
  <si>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</si>
  <si>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</si>
  <si>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</si>
  <si>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</si>
  <si>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</si>
  <si>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</si>
  <si>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</si>
  <si>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</si>
  <si>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</si>
  <si>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</si>
  <si>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</si>
  <si>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</si>
  <si>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</si>
  <si>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</si>
  <si>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</si>
  <si>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</si>
  <si>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</si>
  <si>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</si>
  <si>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</si>
  <si>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</si>
  <si>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</si>
  <si>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</si>
  <si>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</si>
  <si>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</si>
  <si>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</si>
  <si>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</si>
  <si>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</si>
  <si>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</si>
  <si>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</si>
  <si>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</si>
  <si>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</si>
  <si>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</si>
  <si>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</si>
  <si>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</si>
  <si>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</si>
  <si>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</si>
  <si>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</si>
  <si>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</si>
  <si>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</si>
  <si>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</si>
  <si>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</si>
  <si>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</si>
  <si>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</si>
  <si>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</si>
  <si>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</si>
  <si>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</si>
  <si>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</si>
  <si>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</si>
  <si>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</si>
  <si>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</si>
  <si>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</si>
  <si>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</si>
  <si>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</si>
  <si>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</si>
  <si>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</si>
  <si>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</si>
  <si>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</si>
  <si>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</si>
  <si>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</si>
  <si>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</si>
  <si>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</si>
  <si>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</si>
  <si>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</si>
  <si>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</si>
  <si>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</si>
  <si>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</si>
  <si>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</si>
  <si>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</si>
  <si>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</si>
  <si>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</si>
  <si>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</si>
  <si>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</si>
  <si>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</si>
  <si>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</si>
  <si>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</si>
  <si>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</si>
  <si>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</si>
  <si>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</si>
  <si>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</si>
  <si>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</si>
  <si>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</si>
  <si>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</si>
  <si>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</si>
  <si>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</si>
  <si>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</si>
  <si>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</si>
  <si>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</si>
  <si>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</si>
  <si>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</si>
  <si>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</si>
  <si>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</si>
  <si>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</si>
  <si>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</si>
  <si>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</si>
  <si>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</si>
  <si>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</si>
  <si>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</si>
  <si>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</si>
  <si>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</si>
  <si>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</si>
  <si>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</si>
  <si>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</si>
  <si>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</si>
  <si>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</si>
  <si>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</si>
  <si>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</si>
  <si>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</si>
  <si>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</si>
  <si>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</si>
  <si>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</si>
  <si>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</si>
  <si>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</si>
  <si>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</si>
  <si>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</si>
  <si>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</si>
  <si>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</si>
  <si>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</si>
  <si>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</si>
  <si>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</si>
  <si>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</si>
  <si>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</si>
  <si>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</si>
  <si>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</si>
  <si>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</si>
  <si>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</si>
  <si>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</si>
  <si>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</si>
  <si>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</si>
  <si>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</si>
  <si>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</si>
  <si>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</si>
  <si>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</si>
  <si>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</si>
  <si>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</si>
  <si>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</si>
  <si>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</si>
  <si>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</si>
  <si>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</si>
  <si>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</si>
  <si>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</si>
  <si>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</si>
  <si>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</si>
  <si>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</si>
  <si>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</si>
  <si>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</si>
  <si>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</si>
  <si>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</si>
  <si>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</si>
  <si>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</si>
  <si>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</si>
  <si>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</si>
  <si>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</si>
  <si>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</si>
  <si>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</si>
  <si>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</si>
  <si>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</si>
  <si>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</si>
  <si>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</si>
  <si>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</si>
  <si>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</si>
  <si>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</si>
  <si>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</si>
  <si>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</si>
  <si>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</si>
  <si>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</si>
  <si>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</si>
  <si>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</si>
  <si>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</si>
  <si>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</si>
  <si>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</si>
  <si>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</si>
  <si>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</si>
  <si>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</si>
  <si>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</si>
  <si>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</si>
  <si>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</si>
  <si>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</si>
  <si>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</si>
  <si>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</si>
  <si>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</si>
  <si>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</si>
  <si>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</si>
  <si>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</si>
  <si>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</si>
  <si>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</si>
  <si>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</si>
  <si>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</si>
  <si>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</si>
  <si>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</si>
  <si>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</si>
  <si>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</si>
  <si>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</si>
  <si>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</si>
  <si>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</si>
  <si>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</si>
  <si>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</si>
  <si>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</si>
  <si>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</si>
  <si>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</si>
  <si>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</si>
  <si>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</si>
  <si>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</si>
  <si>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</si>
  <si>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</si>
  <si>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</si>
  <si>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</si>
  <si>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</si>
  <si>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</si>
  <si>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</si>
  <si>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</si>
  <si>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</si>
  <si>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</si>
  <si>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</si>
  <si>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</si>
  <si>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</si>
  <si>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</si>
  <si>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</si>
  <si>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</si>
  <si>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</si>
  <si>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</si>
  <si>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</si>
  <si>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</si>
  <si>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</si>
  <si>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</si>
  <si>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</si>
  <si>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</si>
  <si>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</si>
  <si>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</si>
  <si>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</si>
  <si>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</si>
  <si>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</si>
  <si>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</si>
  <si>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</si>
  <si>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</si>
  <si>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</si>
  <si>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</si>
  <si>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</si>
  <si>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</si>
  <si>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</si>
  <si>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</si>
  <si>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</si>
  <si>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</si>
  <si>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</si>
  <si>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</si>
  <si>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</si>
  <si>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</si>
  <si>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</si>
  <si>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</si>
  <si>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</si>
  <si>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</si>
  <si>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</si>
  <si>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</si>
  <si>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</si>
  <si>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</si>
  <si>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</si>
  <si>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</si>
  <si>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</si>
  <si>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</si>
  <si>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</si>
  <si>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</si>
  <si>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</si>
  <si>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</si>
  <si>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</si>
  <si>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Average Rating</t>
  </si>
  <si>
    <t>Happy Customer</t>
  </si>
  <si>
    <t>Row Labels</t>
  </si>
  <si>
    <t>Grand Total</t>
  </si>
  <si>
    <t>Jan</t>
  </si>
  <si>
    <t>Feb</t>
  </si>
  <si>
    <t>Mar</t>
  </si>
  <si>
    <t>Apr</t>
  </si>
  <si>
    <t>May</t>
  </si>
  <si>
    <t>Jun</t>
  </si>
  <si>
    <t>Jul</t>
  </si>
  <si>
    <t>Aug</t>
  </si>
  <si>
    <t>Sep</t>
  </si>
  <si>
    <t>Oct</t>
  </si>
  <si>
    <t>Nov</t>
  </si>
  <si>
    <t>Dec</t>
  </si>
  <si>
    <t>Count of Customer ID</t>
  </si>
  <si>
    <t>Call Count2</t>
  </si>
  <si>
    <t>Friday</t>
  </si>
  <si>
    <t>Monday</t>
  </si>
  <si>
    <t>Saturday</t>
  </si>
  <si>
    <t>Sunday</t>
  </si>
  <si>
    <t>Thursday</t>
  </si>
  <si>
    <t>Tuesday</t>
  </si>
  <si>
    <t>Wednesday</t>
  </si>
  <si>
    <t>call counts</t>
  </si>
  <si>
    <t>total amount</t>
  </si>
  <si>
    <t>rep</t>
  </si>
  <si>
    <t>sel count</t>
  </si>
  <si>
    <t>sel amount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</si>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</sst>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 #,###.0,&quot;k&quot;"/>
    <numFmt numFmtId="167" formatCode="[$$-409]#,##0.0"/>
  </numFmts>
  <fonts count="5"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ExtraBold"/>
      <family val="2"/>
      <scheme val="major"/>
    </font>
  </fonts>
  <fills count="4">
    <fill>
      <patternFill patternType="none"/>
    </fill>
    <fill>
      <patternFill patternType="gray125"/>
    </fill>
    <fill>
      <patternFill patternType="solid">
        <fgColor theme="7"/>
        <bgColor indexed="64"/>
      </patternFill>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 fontId="0" fillId="0" borderId="0" xfId="0" applyNumberFormat="1"/>
    <xf numFmtId="3" fontId="0" fillId="0" borderId="0" xfId="0" applyNumberFormat="1"/>
    <xf numFmtId="165" fontId="0" fillId="0" borderId="0" xfId="0" applyNumberFormat="1"/>
    <xf numFmtId="2" fontId="0" fillId="0" borderId="0" xfId="0" applyNumberFormat="1"/>
    <xf numFmtId="0" fontId="4" fillId="3" borderId="0" xfId="0" applyFont="1" applyFill="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0" borderId="0" xfId="0" applyAlignment="1">
      <alignment horizontal="left" indent="1"/>
    </xf>
    <xf numFmtId="0" fontId="0" fillId="3" borderId="0" xfId="0" applyFill="1" applyBorder="1" applyAlignment="1">
      <alignment horizontal="center" vertical="center"/>
    </xf>
    <xf numFmtId="0" fontId="0" fillId="3" borderId="0" xfId="0" applyFill="1" applyBorder="1"/>
    <xf numFmtId="167" fontId="0" fillId="3" borderId="0" xfId="0" applyNumberFormat="1" applyFill="1" applyBorder="1"/>
  </cellXfs>
  <cellStyles count="1">
    <cellStyle name="Normal" xfId="0" builtinId="0"/>
  </cellStyles>
  <dxfs count="19">
    <dxf>
      <fill>
        <patternFill>
          <bgColor theme="5" tint="0.59996337778862885"/>
        </patternFill>
      </fill>
      <border>
        <left style="thin">
          <color auto="1"/>
        </left>
        <right style="thin">
          <color auto="1"/>
        </right>
        <vertical/>
        <horizontal/>
      </border>
    </dxf>
    <dxf>
      <fill>
        <patternFill>
          <bgColor theme="5" tint="0.59996337778862885"/>
        </patternFill>
      </fill>
      <border>
        <left style="thin">
          <color auto="1"/>
        </left>
        <right style="thin">
          <color auto="1"/>
        </right>
        <vertical/>
        <horizontal/>
      </border>
    </dxf>
    <dxf>
      <font>
        <b/>
        <color theme="1"/>
      </font>
      <border>
        <bottom style="thin">
          <color theme="5"/>
        </bottom>
        <vertical/>
        <horizontal/>
      </border>
    </dxf>
    <dxf>
      <font>
        <color theme="2" tint="-0.749961851863155"/>
      </font>
      <border>
        <left style="thin">
          <color theme="5"/>
        </left>
        <right style="thin">
          <color theme="5"/>
        </right>
        <top style="thin">
          <color theme="5"/>
        </top>
        <bottom style="thin">
          <color theme="5"/>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StyleLight2 2" pivot="0" table="0" count="10" xr9:uid="{44787FDB-1FE3-41F6-B5D4-64E190D7B252}">
      <tableStyleElement type="wholeTable" dxfId="3"/>
      <tableStyleElement type="headerRow" dxfId="2"/>
    </tableStyle>
  </tableStyles>
  <colors>
    <mruColors>
      <color rgb="FFE27ECD"/>
    </mruColors>
  </colors>
  <extLst>
    <ext xmlns:x14="http://schemas.microsoft.com/office/spreadsheetml/2009/9/main" uri="{46F421CA-312F-682f-3DD2-61675219B42D}">
      <x14:dxfs count="8">
        <dxf>
          <font>
            <color rgb="FF000000"/>
          </font>
          <fill>
            <patternFill patternType="solid">
              <fgColor auto="1"/>
              <bgColor theme="5" tint="0.5999633777886288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5" tint="0.59999389629810485"/>
              <bgColor theme="5"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6" tint="0.79998168889431442"/>
            </patternFill>
          </fill>
          <border>
            <left style="thin">
              <color rgb="FFE0E0E0"/>
            </left>
            <right style="thin">
              <color rgb="FFE0E0E0"/>
            </right>
            <top style="thin">
              <color rgb="FFE0E0E0"/>
            </top>
            <bottom style="thin">
              <color rgb="FFE0E0E0"/>
            </bottom>
            <vertical/>
            <horizontal/>
          </border>
        </dxf>
        <dxf>
          <font>
            <color theme="1" tint="0.24994659260841701"/>
          </font>
          <fill>
            <patternFill patternType="solid">
              <fgColor rgb="FFFFFFFF"/>
              <bgColor them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Calls</a:t>
            </a:r>
          </a:p>
        </c:rich>
      </c:tx>
      <c:layout>
        <c:manualLayout>
          <c:xMode val="edge"/>
          <c:yMode val="edge"/>
          <c:x val="0.36563659709409652"/>
          <c:y val="2.90123510375684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20547854006766"/>
          <c:y val="0.14752666280749091"/>
          <c:w val="0.63808720060191693"/>
          <c:h val="0.79694917995561798"/>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Pivots!$E$41:$E$45</c:f>
              <c:strCache>
                <c:ptCount val="5"/>
                <c:pt idx="0">
                  <c:v>R01</c:v>
                </c:pt>
                <c:pt idx="1">
                  <c:v>R02</c:v>
                </c:pt>
                <c:pt idx="2">
                  <c:v>R03</c:v>
                </c:pt>
                <c:pt idx="3">
                  <c:v>R04</c:v>
                </c:pt>
                <c:pt idx="4">
                  <c:v>R05</c:v>
                </c:pt>
              </c:strCache>
            </c:strRef>
          </c:cat>
          <c:val>
            <c:numRef>
              <c:f>Pivots!$F$41:$F$45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3A32-47D8-9750-463D10FC2FEF}"/>
            </c:ext>
          </c:extLst>
        </c:ser>
        <c:ser>
          <c:idx val="1"/>
          <c:order val="1"/>
          <c:tx>
            <c:strRef>
              <c:f>Pivots!$H$40</c:f>
              <c:strCache>
                <c:ptCount val="1"/>
                <c:pt idx="0">
                  <c:v>sel count</c:v>
                </c:pt>
              </c:strCache>
            </c:strRef>
          </c:tx>
          <c:spPr>
            <a:solidFill>
              <a:schemeClr val="accent2"/>
            </a:solidFill>
            <a:ln>
              <a:noFill/>
            </a:ln>
            <a:effectLst/>
          </c:spPr>
          <c:invertIfNegative val="0"/>
          <c:dLbls>
            <c:delete val="1"/>
          </c:dLbls>
          <c:val>
            <c:numRef>
              <c:f>Pivots!$H$41:$H$45</c:f>
              <c:numCache>
                <c:formatCode>General</c:formatCode>
                <c:ptCount val="5"/>
                <c:pt idx="0">
                  <c:v>189</c:v>
                </c:pt>
                <c:pt idx="1">
                  <c:v>0</c:v>
                </c:pt>
                <c:pt idx="2">
                  <c:v>0</c:v>
                </c:pt>
                <c:pt idx="3">
                  <c:v>0</c:v>
                </c:pt>
                <c:pt idx="4">
                  <c:v>0</c:v>
                </c:pt>
              </c:numCache>
            </c:numRef>
          </c:val>
          <c:extLst>
            <c:ext xmlns:c16="http://schemas.microsoft.com/office/drawing/2014/chart" uri="{C3380CC4-5D6E-409C-BE32-E72D297353CC}">
              <c16:uniqueId val="{00000001-3A32-47D8-9750-463D10FC2FEF}"/>
            </c:ext>
          </c:extLst>
        </c:ser>
        <c:dLbls>
          <c:dLblPos val="outEnd"/>
          <c:showLegendKey val="0"/>
          <c:showVal val="1"/>
          <c:showCatName val="0"/>
          <c:showSerName val="0"/>
          <c:showPercent val="0"/>
          <c:showBubbleSize val="0"/>
        </c:dLbls>
        <c:gapWidth val="25"/>
        <c:overlap val="100"/>
        <c:axId val="1706089295"/>
        <c:axId val="1706091695"/>
      </c:barChart>
      <c:catAx>
        <c:axId val="1706089295"/>
        <c:scaling>
          <c:orientation val="maxMin"/>
        </c:scaling>
        <c:delete val="1"/>
        <c:axPos val="l"/>
        <c:numFmt formatCode="General" sourceLinked="1"/>
        <c:majorTickMark val="out"/>
        <c:minorTickMark val="none"/>
        <c:tickLblPos val="nextTo"/>
        <c:crossAx val="1706091695"/>
        <c:crosses val="autoZero"/>
        <c:auto val="1"/>
        <c:lblAlgn val="ctr"/>
        <c:lblOffset val="100"/>
        <c:noMultiLvlLbl val="0"/>
      </c:catAx>
      <c:valAx>
        <c:axId val="1706091695"/>
        <c:scaling>
          <c:orientation val="minMax"/>
        </c:scaling>
        <c:delete val="1"/>
        <c:axPos val="t"/>
        <c:numFmt formatCode="General" sourceLinked="1"/>
        <c:majorTickMark val="out"/>
        <c:minorTickMark val="none"/>
        <c:tickLblPos val="nextTo"/>
        <c:crossAx val="170608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[sample-data-excel-portfolio-project.xlsx]Pivots!Weekly trend pivot</c:name>
    <c:fmtId val="11"/>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sz="1400" b="1">
                <a:solidFill>
                  <a:schemeClr val="accent2">
                    <a:lumMod val="75000"/>
                  </a:schemeClr>
                </a:solidFill>
              </a:rPr>
              <a:t>Weekly Trend</a:t>
            </a:r>
          </a:p>
        </c:rich>
      </c:tx>
      <c:layout>
        <c:manualLayout>
          <c:xMode val="edge"/>
          <c:yMode val="edge"/>
          <c:x val="0.10939078331575003"/>
          <c:y val="2.8901761667518636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0">
            <a:solidFill>
              <a:schemeClr val="tx1">
                <a:lumMod val="65000"/>
                <a:lumOff val="3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0">
            <a:solidFill>
              <a:schemeClr val="tx1">
                <a:lumMod val="65000"/>
                <a:lumOff val="35000"/>
              </a:schemeClr>
            </a:solidFill>
          </a:ln>
          <a:effectLst/>
        </c:spPr>
      </c:pivotFmt>
      <c:pivotFmt>
        <c:idx val="2"/>
        <c:spPr>
          <a:solidFill>
            <a:schemeClr val="accent1"/>
          </a:solidFill>
          <a:ln w="0">
            <a:solidFill>
              <a:schemeClr val="tx1">
                <a:lumMod val="65000"/>
                <a:lumOff val="3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w="0">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292252104719945"/>
          <c:y val="0.17897234484609334"/>
          <c:w val="0.57418159686560921"/>
          <c:h val="0.77505240230387873"/>
        </c:manualLayout>
      </c:layout>
      <c:barChart>
        <c:barDir val="bar"/>
        <c:grouping val="clustered"/>
        <c:varyColors val="0"/>
        <c:ser>
          <c:idx val="0"/>
          <c:order val="0"/>
          <c:tx>
            <c:strRef>
              <c:f>Pivots!$B$30</c:f>
              <c:strCache>
                <c:ptCount val="1"/>
                <c:pt idx="0">
                  <c:v>Total</c:v>
                </c:pt>
              </c:strCache>
            </c:strRef>
          </c:tx>
          <c:spPr>
            <a:solidFill>
              <a:schemeClr val="accent2">
                <a:lumMod val="75000"/>
              </a:schemeClr>
            </a:solidFill>
            <a:ln w="0">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Pivots!$A$31:$A$38</c:f>
              <c:strCache>
                <c:ptCount val="7"/>
                <c:pt idx="0">
                  <c:v>Sunday</c:v>
                </c:pt>
                <c:pt idx="1">
                  <c:v>Monday</c:v>
                </c:pt>
                <c:pt idx="2">
                  <c:v>Tuesday</c:v>
                </c:pt>
                <c:pt idx="3">
                  <c:v>Wednesday</c:v>
                </c:pt>
                <c:pt idx="4">
                  <c:v>Thursday</c:v>
                </c:pt>
                <c:pt idx="5">
                  <c:v>Friday</c:v>
                </c:pt>
                <c:pt idx="6">
                  <c:v>Saturday</c:v>
                </c:pt>
              </c:strCache>
            </c:strRef>
          </c:cat>
          <c:val>
            <c:numRef>
              <c:f>Pivots!$B$31:$B$38</c:f>
              <c:numCache>
                <c:formatCode>General</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79C3-4B99-B859-37B9FC516BE6}"/>
            </c:ext>
          </c:extLst>
        </c:ser>
        <c:dLbls>
          <c:dLblPos val="outEnd"/>
          <c:showLegendKey val="0"/>
          <c:showVal val="1"/>
          <c:showCatName val="0"/>
          <c:showSerName val="0"/>
          <c:showPercent val="0"/>
          <c:showBubbleSize val="0"/>
        </c:dLbls>
        <c:gapWidth val="25"/>
        <c:axId val="1710524063"/>
        <c:axId val="1710526943"/>
      </c:barChart>
      <c:catAx>
        <c:axId val="1710524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10526943"/>
        <c:crosses val="autoZero"/>
        <c:auto val="1"/>
        <c:lblAlgn val="ctr"/>
        <c:lblOffset val="100"/>
        <c:noMultiLvlLbl val="0"/>
      </c:catAx>
      <c:valAx>
        <c:axId val="1710526943"/>
        <c:scaling>
          <c:orientation val="minMax"/>
        </c:scaling>
        <c:delete val="1"/>
        <c:axPos val="b"/>
        <c:numFmt formatCode="General" sourceLinked="1"/>
        <c:majorTickMark val="none"/>
        <c:minorTickMark val="none"/>
        <c:tickLblPos val="nextTo"/>
        <c:crossAx val="171052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[sample-data-excel-portfolio-project.xlsx]Pivots!monthly trend </c:name>
    <c:fmtId val="20"/>
  </c:pivotSource>
  <c:chart>
    <c:title>
      <c:tx>
        <c:rich>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r>
              <a:rPr lang="en-IN" b="1" baseline="0">
                <a:solidFill>
                  <a:schemeClr val="accent2">
                    <a:lumMod val="75000"/>
                  </a:schemeClr>
                </a:solidFill>
              </a:rPr>
              <a:t>Monthly Trend</a:t>
            </a:r>
            <a:endParaRPr lang="en-IN" b="1">
              <a:solidFill>
                <a:schemeClr val="accent2">
                  <a:lumMod val="75000"/>
                </a:schemeClr>
              </a:solidFill>
            </a:endParaRPr>
          </a:p>
        </c:rich>
      </c:tx>
      <c:layout>
        <c:manualLayout>
          <c:xMode val="edge"/>
          <c:yMode val="edge"/>
          <c:x val="6.0448232323232334E-2"/>
          <c:y val="4.504504504504504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endParaRPr lang="en-IN"/>
        </a:p>
      </c:txPr>
    </c:title>
    <c:autoTitleDeleted val="0"/>
    <c:pivotFmts>
      <c:pivotFmt>
        <c:idx val="0"/>
        <c:spPr>
          <a:solidFill>
            <a:schemeClr val="accent1"/>
          </a:solidFill>
          <a:ln w="28575" cap="rnd">
            <a:solidFill>
              <a:schemeClr val="bg2">
                <a:lumMod val="10000"/>
              </a:schemeClr>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2">
                <a:lumMod val="10000"/>
              </a:schemeClr>
            </a:solidFill>
            <a:round/>
          </a:ln>
          <a:effectLst/>
        </c:spPr>
        <c:marker>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1750" cap="rnd">
            <a:solidFill>
              <a:srgbClr val="FFC000"/>
            </a:solidFill>
            <a:round/>
          </a:ln>
          <a:effectLst/>
        </c:spPr>
        <c:marker>
          <c:symbol val="none"/>
        </c:marker>
      </c:pivotFmt>
      <c:pivotFmt>
        <c:idx val="5"/>
        <c:spPr>
          <a:solidFill>
            <a:schemeClr val="accent1"/>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175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2">
                  <a:lumMod val="40000"/>
                  <a:lumOff val="60000"/>
                </a:schemeClr>
              </a:gs>
              <a:gs pos="100000">
                <a:schemeClr val="accent2">
                  <a:lumMod val="75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rgbClr val="FFC000"/>
            </a:solidFill>
            <a:round/>
          </a:ln>
          <a:effectLst/>
        </c:spPr>
        <c:marker>
          <c:symbol val="circle"/>
          <c:size val="5"/>
          <c:spPr>
            <a:solidFill>
              <a:schemeClr val="bg1">
                <a:lumMod val="95000"/>
              </a:schemeClr>
            </a:solidFill>
            <a:ln w="25400">
              <a:solidFill>
                <a:schemeClr val="tx1">
                  <a:lumMod val="65000"/>
                  <a:lumOff val="3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72846575996169E-2"/>
          <c:y val="0.21816399456092084"/>
          <c:w val="0.90789887059572105"/>
          <c:h val="0.67543243841507772"/>
        </c:manualLayout>
      </c:layout>
      <c:areaChart>
        <c:grouping val="standard"/>
        <c:varyColors val="0"/>
        <c:ser>
          <c:idx val="1"/>
          <c:order val="1"/>
          <c:tx>
            <c:strRef>
              <c:f>Pivots!$C$12</c:f>
              <c:strCache>
                <c:ptCount val="1"/>
                <c:pt idx="0">
                  <c:v>Call Count2</c:v>
                </c:pt>
              </c:strCache>
            </c:strRef>
          </c:tx>
          <c:spPr>
            <a:gradFill flip="none" rotWithShape="1">
              <a:gsLst>
                <a:gs pos="0">
                  <a:schemeClr val="accent2">
                    <a:lumMod val="40000"/>
                    <a:lumOff val="60000"/>
                  </a:schemeClr>
                </a:gs>
                <a:gs pos="100000">
                  <a:schemeClr val="accent2">
                    <a:lumMod val="75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strRef>
              <c:f>Pivots!$A$13:$A$25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Pivots!$C$13:$C$25</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CB18-4EAF-ADCF-B329FD2BD332}"/>
            </c:ext>
          </c:extLst>
        </c:ser>
        <c:dLbls>
          <c:showLegendKey val="0"/>
          <c:showVal val="0"/>
          <c:showCatName val="0"/>
          <c:showSerName val="0"/>
          <c:showPercent val="0"/>
          <c:showBubbleSize val="0"/>
        </c:dLbls>
        <c:axId val="1710527423"/>
        <c:axId val="1710525503"/>
      </c:areaChart>
      <c:lineChart>
        <c:grouping val="standard"/>
        <c:varyColors val="0"/>
        <c:ser>
          <c:idx val="0"/>
          <c:order val="0"/>
          <c:tx>
            <c:strRef>
              <c:f>Pivots!$B$12</c:f>
              <c:strCache>
                <c:ptCount val="1"/>
                <c:pt idx="0">
                  <c:v>Call Count</c:v>
                </c:pt>
              </c:strCache>
            </c:strRef>
          </c:tx>
          <c:spPr>
            <a:ln w="31750" cap="rnd">
              <a:solidFill>
                <a:srgbClr val="FFC000"/>
              </a:solidFill>
              <a:round/>
            </a:ln>
            <a:effectLst/>
          </c:spPr>
          <c:marker>
            <c:symbol val="circle"/>
            <c:size val="5"/>
            <c:spPr>
              <a:solidFill>
                <a:schemeClr val="bg1">
                  <a:lumMod val="95000"/>
                </a:schemeClr>
              </a:solidFill>
              <a:ln w="25400">
                <a:solidFill>
                  <a:schemeClr val="tx1">
                    <a:lumMod val="65000"/>
                    <a:lumOff val="35000"/>
                  </a:schemeClr>
                </a:solidFill>
              </a:ln>
              <a:effectLst/>
            </c:spPr>
          </c:marker>
          <c:cat>
            <c:strRef>
              <c:f>Pivots!$A$13:$A$25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Pivots!$B$13:$B$25</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CB18-4EAF-ADCF-B329FD2BD332}"/>
            </c:ext>
          </c:extLst>
        </c:ser>
        <c:dLbls>
          <c:showLegendKey val="0"/>
          <c:showVal val="0"/>
          <c:showCatName val="0"/>
          <c:showSerName val="0"/>
          <c:showPercent val="0"/>
          <c:showBubbleSize val="0"/>
        </c:dLbls>
        <c:marker val="1"/>
        <c:smooth val="0"/>
        <c:axId val="1810234159"/>
        <c:axId val="1810233199"/>
      </c:lineChart>
      <c:catAx>
        <c:axId val="181023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233199"/>
        <c:crosses val="autoZero"/>
        <c:auto val="1"/>
        <c:lblAlgn val="ctr"/>
        <c:lblOffset val="100"/>
        <c:noMultiLvlLbl val="0"/>
      </c:catAx>
      <c:valAx>
        <c:axId val="1810233199"/>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234159"/>
        <c:crosses val="autoZero"/>
        <c:crossBetween val="between"/>
      </c:valAx>
      <c:valAx>
        <c:axId val="1710525503"/>
        <c:scaling>
          <c:orientation val="minMax"/>
        </c:scaling>
        <c:delete val="1"/>
        <c:axPos val="r"/>
        <c:numFmt formatCode="0" sourceLinked="1"/>
        <c:majorTickMark val="out"/>
        <c:minorTickMark val="none"/>
        <c:tickLblPos val="nextTo"/>
        <c:crossAx val="1710527423"/>
        <c:crosses val="max"/>
        <c:crossBetween val="between"/>
      </c:valAx>
      <c:catAx>
        <c:axId val="1710527423"/>
        <c:scaling>
          <c:orientation val="minMax"/>
        </c:scaling>
        <c:delete val="1"/>
        <c:axPos val="b"/>
        <c:numFmt formatCode="General" sourceLinked="1"/>
        <c:majorTickMark val="out"/>
        <c:minorTickMark val="none"/>
        <c:tickLblPos val="nextTo"/>
        <c:crossAx val="17105255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60000"/>
          <a:lumOff val="40000"/>
        </a:schemeClr>
      </a:solidFill>
      <a:round/>
    </a:ln>
    <a:effectLst>
      <a:glow>
        <a:schemeClr val="bg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Amount</a:t>
            </a:r>
          </a:p>
        </c:rich>
      </c:tx>
      <c:layout>
        <c:manualLayout>
          <c:xMode val="edge"/>
          <c:yMode val="edge"/>
          <c:x val="0.34961303244807324"/>
          <c:y val="2.9074798697082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235815639746226"/>
          <c:y val="0.18022071206242429"/>
          <c:w val="0.72920658452751286"/>
          <c:h val="0.78651954971149562"/>
        </c:manualLayout>
      </c:layout>
      <c:barChart>
        <c:barDir val="bar"/>
        <c:grouping val="clustered"/>
        <c:varyColors val="0"/>
        <c:ser>
          <c:idx val="0"/>
          <c:order val="0"/>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Pivots!$E$41:$E$45</c:f>
              <c:strCache>
                <c:ptCount val="5"/>
                <c:pt idx="0">
                  <c:v>R01</c:v>
                </c:pt>
                <c:pt idx="1">
                  <c:v>R02</c:v>
                </c:pt>
                <c:pt idx="2">
                  <c:v>R03</c:v>
                </c:pt>
                <c:pt idx="3">
                  <c:v>R04</c:v>
                </c:pt>
                <c:pt idx="4">
                  <c:v>R05</c:v>
                </c:pt>
              </c:strCache>
            </c:strRef>
          </c:cat>
          <c:val>
            <c:numRef>
              <c:f>Pivots!$G$41:$G$45</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85A3-4D9F-A160-CD22757BFCBE}"/>
            </c:ext>
          </c:extLst>
        </c:ser>
        <c:ser>
          <c:idx val="1"/>
          <c:order val="1"/>
          <c:tx>
            <c:strRef>
              <c:f>Pivots!$I$40</c:f>
              <c:strCache>
                <c:ptCount val="1"/>
                <c:pt idx="0">
                  <c:v>sel amount</c:v>
                </c:pt>
              </c:strCache>
            </c:strRef>
          </c:tx>
          <c:spPr>
            <a:solidFill>
              <a:schemeClr val="accent2"/>
            </a:solidFill>
            <a:ln>
              <a:noFill/>
            </a:ln>
            <a:effectLst/>
          </c:spPr>
          <c:invertIfNegative val="0"/>
          <c:dLbls>
            <c:delete val="1"/>
          </c:dLbls>
          <c:val>
            <c:numRef>
              <c:f>Pivots!$I$41:$I$45</c:f>
              <c:numCache>
                <c:formatCode>General</c:formatCode>
                <c:ptCount val="5"/>
                <c:pt idx="0">
                  <c:v>18415</c:v>
                </c:pt>
                <c:pt idx="1">
                  <c:v>0</c:v>
                </c:pt>
                <c:pt idx="2">
                  <c:v>0</c:v>
                </c:pt>
                <c:pt idx="3">
                  <c:v>0</c:v>
                </c:pt>
                <c:pt idx="4">
                  <c:v>0</c:v>
                </c:pt>
              </c:numCache>
            </c:numRef>
          </c:val>
          <c:extLst>
            <c:ext xmlns:c16="http://schemas.microsoft.com/office/drawing/2014/chart" uri="{C3380CC4-5D6E-409C-BE32-E72D297353CC}">
              <c16:uniqueId val="{00000001-85A3-4D9F-A160-CD22757BFCBE}"/>
            </c:ext>
          </c:extLst>
        </c:ser>
        <c:dLbls>
          <c:dLblPos val="outEnd"/>
          <c:showLegendKey val="0"/>
          <c:showVal val="1"/>
          <c:showCatName val="0"/>
          <c:showSerName val="0"/>
          <c:showPercent val="0"/>
          <c:showBubbleSize val="0"/>
        </c:dLbls>
        <c:gapWidth val="25"/>
        <c:overlap val="100"/>
        <c:axId val="1400059103"/>
        <c:axId val="1400059583"/>
      </c:barChart>
      <c:catAx>
        <c:axId val="140005910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059583"/>
        <c:crosses val="autoZero"/>
        <c:auto val="1"/>
        <c:lblAlgn val="ctr"/>
        <c:lblOffset val="100"/>
        <c:noMultiLvlLbl val="0"/>
      </c:catAx>
      <c:valAx>
        <c:axId val="1400059583"/>
        <c:scaling>
          <c:orientation val="minMax"/>
        </c:scaling>
        <c:delete val="1"/>
        <c:axPos val="t"/>
        <c:numFmt formatCode="\$\ #,###.0,&quot;k&quot;" sourceLinked="1"/>
        <c:majorTickMark val="out"/>
        <c:minorTickMark val="none"/>
        <c:tickLblPos val="nextTo"/>
        <c:crossAx val="140005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B0F0"/>
                </a:solidFill>
              </a:rPr>
              <a:t>Male</a:t>
            </a:r>
            <a:r>
              <a:rPr lang="en-IN" baseline="0">
                <a:solidFill>
                  <a:schemeClr val="accent5">
                    <a:lumMod val="60000"/>
                    <a:lumOff val="40000"/>
                  </a:schemeClr>
                </a:solidFill>
              </a:rPr>
              <a:t> </a:t>
            </a:r>
            <a:r>
              <a:rPr lang="en-IN" baseline="0">
                <a:solidFill>
                  <a:schemeClr val="tx1"/>
                </a:solidFill>
              </a:rPr>
              <a:t>Vs</a:t>
            </a:r>
            <a:r>
              <a:rPr lang="en-IN" baseline="0">
                <a:solidFill>
                  <a:schemeClr val="accent5">
                    <a:lumMod val="60000"/>
                    <a:lumOff val="40000"/>
                  </a:schemeClr>
                </a:solidFill>
              </a:rPr>
              <a:t> </a:t>
            </a:r>
            <a:r>
              <a:rPr lang="en-IN" baseline="0">
                <a:solidFill>
                  <a:schemeClr val="accent2"/>
                </a:solidFill>
              </a:rPr>
              <a:t>Female</a:t>
            </a:r>
            <a:r>
              <a:rPr lang="en-IN" baseline="0">
                <a:solidFill>
                  <a:schemeClr val="accent5">
                    <a:lumMod val="60000"/>
                    <a:lumOff val="40000"/>
                  </a:schemeClr>
                </a:solidFill>
              </a:rPr>
              <a:t> </a:t>
            </a:r>
            <a:r>
              <a:rPr lang="en-IN" baseline="0">
                <a:solidFill>
                  <a:schemeClr val="tx1"/>
                </a:solidFill>
              </a:rPr>
              <a:t>Calls</a:t>
            </a:r>
            <a:endParaRPr lang="en-IN">
              <a:solidFill>
                <a:schemeClr val="tx1"/>
              </a:solidFill>
            </a:endParaRPr>
          </a:p>
        </c:rich>
      </c:tx>
      <c:layout>
        <c:manualLayout>
          <c:xMode val="edge"/>
          <c:yMode val="edge"/>
          <c:x val="3.2952768911814669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60000"/>
              <a:lumOff val="40000"/>
            </a:schemeClr>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rgbClr val="00B0F0"/>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2"/>
          </a:solidFill>
          <a:ln>
            <a:noFill/>
          </a:ln>
          <a:effectLst/>
        </c:spPr>
      </c:pivotFmt>
    </c:pivotFmts>
    <c:plotArea>
      <c:layout>
        <c:manualLayout>
          <c:layoutTarget val="inner"/>
          <c:xMode val="edge"/>
          <c:yMode val="edge"/>
          <c:x val="7.7440343075978899E-2"/>
          <c:y val="0.24280295118850012"/>
          <c:w val="0.87887475604011034"/>
          <c:h val="0.61431095865492058"/>
        </c:manualLayout>
      </c:layout>
      <c:barChart>
        <c:barDir val="col"/>
        <c:grouping val="percentStacked"/>
        <c:varyColors val="0"/>
        <c:ser>
          <c:idx val="0"/>
          <c:order val="0"/>
          <c:tx>
            <c:strRef>
              <c:f>Pivots!$G$58:$G$59</c:f>
              <c:strCache>
                <c:ptCount val="1"/>
                <c:pt idx="0">
                  <c:v>Female</c:v>
                </c:pt>
              </c:strCache>
            </c:strRef>
          </c:tx>
          <c:spPr>
            <a:solidFill>
              <a:schemeClr val="accent2"/>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Pivots!$F$60:$F$62</c:f>
              <c:strCache>
                <c:ptCount val="3"/>
                <c:pt idx="0">
                  <c:v>Cincinnati</c:v>
                </c:pt>
                <c:pt idx="1">
                  <c:v>Cleveland</c:v>
                </c:pt>
                <c:pt idx="2">
                  <c:v>Columbus</c:v>
                </c:pt>
              </c:strCache>
            </c:strRef>
          </c:cat>
          <c:val>
            <c:numRef>
              <c:f>Pivots!$G$60:$G$62</c:f>
              <c:numCache>
                <c:formatCode>0</c:formatCode>
                <c:ptCount val="3"/>
                <c:pt idx="0">
                  <c:v>144</c:v>
                </c:pt>
                <c:pt idx="1">
                  <c:v>326</c:v>
                </c:pt>
                <c:pt idx="2">
                  <c:v>129</c:v>
                </c:pt>
              </c:numCache>
            </c:numRef>
          </c:val>
          <c:extLst>
            <c:ext xmlns:c16="http://schemas.microsoft.com/office/drawing/2014/chart" uri="{C3380CC4-5D6E-409C-BE32-E72D297353CC}">
              <c16:uniqueId val="{00000000-9129-4498-98F7-AB12A2410A4C}"/>
            </c:ext>
          </c:extLst>
        </c:ser>
        <c:ser>
          <c:idx val="1"/>
          <c:order val="1"/>
          <c:tx>
            <c:strRef>
              <c:f>Pivots!$H$58:$H$59</c:f>
              <c:strCache>
                <c:ptCount val="1"/>
                <c:pt idx="0">
                  <c:v>Male</c:v>
                </c:pt>
              </c:strCache>
            </c:strRef>
          </c:tx>
          <c:spPr>
            <a:solidFill>
              <a:srgbClr val="00B0F0"/>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Pivots!$F$60:$F$62</c:f>
              <c:strCache>
                <c:ptCount val="3"/>
                <c:pt idx="0">
                  <c:v>Cincinnati</c:v>
                </c:pt>
                <c:pt idx="1">
                  <c:v>Cleveland</c:v>
                </c:pt>
                <c:pt idx="2">
                  <c:v>Columbus</c:v>
                </c:pt>
              </c:strCache>
            </c:strRef>
          </c:cat>
          <c:val>
            <c:numRef>
              <c:f>Pivots!$H$60:$H$62</c:f>
              <c:numCache>
                <c:formatCode>0</c:formatCode>
                <c:ptCount val="3"/>
                <c:pt idx="0">
                  <c:v>132</c:v>
                </c:pt>
                <c:pt idx="1">
                  <c:v>63</c:v>
                </c:pt>
                <c:pt idx="2">
                  <c:v>206</c:v>
                </c:pt>
              </c:numCache>
            </c:numRef>
          </c:val>
          <c:extLst>
            <c:ext xmlns:c16="http://schemas.microsoft.com/office/drawing/2014/chart" uri="{C3380CC4-5D6E-409C-BE32-E72D297353CC}">
              <c16:uniqueId val="{00000001-9129-4498-98F7-AB12A2410A4C}"/>
            </c:ext>
          </c:extLst>
        </c:ser>
        <c:dLbls>
          <c:showLegendKey val="0"/>
          <c:showVal val="0"/>
          <c:showCatName val="0"/>
          <c:showSerName val="0"/>
          <c:showPercent val="0"/>
          <c:showBubbleSize val="0"/>
        </c:dLbls>
        <c:gapWidth val="36"/>
        <c:overlap val="100"/>
        <c:axId val="815065776"/>
        <c:axId val="815067216"/>
      </c:barChart>
      <c:catAx>
        <c:axId val="815065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067216"/>
        <c:crosses val="autoZero"/>
        <c:auto val="1"/>
        <c:lblAlgn val="ctr"/>
        <c:lblOffset val="100"/>
        <c:noMultiLvlLbl val="0"/>
      </c:catAx>
      <c:valAx>
        <c:axId val="815067216"/>
        <c:scaling>
          <c:orientation val="minMax"/>
        </c:scaling>
        <c:delete val="1"/>
        <c:axPos val="l"/>
        <c:numFmt formatCode="0%" sourceLinked="1"/>
        <c:majorTickMark val="none"/>
        <c:minorTickMark val="none"/>
        <c:tickLblPos val="nextTo"/>
        <c:crossAx val="81506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[sample-data-excel-portfolio-project.xlsx]Pivots!PivotTable2</c:name>
    <c:fmtId val="3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bg2">
                    <a:lumMod val="50000"/>
                  </a:schemeClr>
                </a:solidFill>
                <a:effectLst>
                  <a:outerShdw blurRad="38100" dist="25400" dir="5400000" algn="ctr" rotWithShape="0">
                    <a:srgbClr val="6E747A">
                      <a:alpha val="43000"/>
                    </a:srgbClr>
                  </a:outerShdw>
                </a:effectLst>
                <a:latin typeface="+mn-lt"/>
                <a:ea typeface="+mn-ea"/>
                <a:cs typeface="+mn-cs"/>
              </a:rPr>
              <a:t>Rating</a:t>
            </a:r>
            <a:r>
              <a:rPr lang="en-US" b="0" cap="none" spc="0" baseline="0">
                <a:ln w="0"/>
                <a:solidFill>
                  <a:schemeClr val="bg2">
                    <a:lumMod val="50000"/>
                  </a:schemeClr>
                </a:solidFill>
                <a:effectLst>
                  <a:outerShdw blurRad="38100" dist="19050" dir="2700000" algn="tl" rotWithShape="0">
                    <a:schemeClr val="dk1">
                      <a:alpha val="40000"/>
                    </a:schemeClr>
                  </a:outerShdw>
                </a:effectLst>
                <a:latin typeface="+mn-lt"/>
                <a:ea typeface="+mn-ea"/>
                <a:cs typeface="+mn-cs"/>
              </a:rPr>
              <a:t> </a:t>
            </a:r>
            <a:endParaRPr lang="en-US" b="0" cap="none" spc="0">
              <a:ln w="0"/>
              <a:solidFill>
                <a:schemeClr val="bg2">
                  <a:lumMod val="50000"/>
                </a:schemeClr>
              </a:solidFill>
              <a:effectLst>
                <a:outerShdw blurRad="38100" dist="19050" dir="2700000" algn="tl" rotWithShape="0">
                  <a:schemeClr val="dk1">
                    <a:alpha val="40000"/>
                  </a:schemeClr>
                </a:outerShdw>
              </a:effectLst>
            </a:endParaRPr>
          </a:p>
        </c:rich>
      </c:tx>
      <c:overlay val="0"/>
      <c:spPr>
        <a:noFill/>
        <a:ln w="6350" cap="flat" cmpd="sng" algn="ctr">
          <a:noFill/>
          <a:prstDash val="solid"/>
          <a:miter lim="800000"/>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Pivots!$B$64</c:f>
              <c:strCache>
                <c:ptCount val="1"/>
                <c:pt idx="0">
                  <c:v>Total</c:v>
                </c:pt>
              </c:strCache>
            </c:strRef>
          </c:tx>
          <c:spPr>
            <a:solidFill>
              <a:schemeClr val="accent2">
                <a:lumMod val="75000"/>
              </a:schemeClr>
            </a:solidFill>
            <a:ln>
              <a:noFill/>
            </a:ln>
            <a:effectLst/>
          </c:spPr>
          <c:invertIfNegative val="0"/>
          <c:cat>
            <c:strRef>
              <c:f>Pivots!$A$65:$A$70</c:f>
              <c:strCache>
                <c:ptCount val="6"/>
                <c:pt idx="0">
                  <c:v>0</c:v>
                </c:pt>
                <c:pt idx="1">
                  <c:v>1</c:v>
                </c:pt>
                <c:pt idx="2">
                  <c:v>2</c:v>
                </c:pt>
                <c:pt idx="3">
                  <c:v>3</c:v>
                </c:pt>
                <c:pt idx="4">
                  <c:v>4</c:v>
                </c:pt>
                <c:pt idx="5">
                  <c:v>5</c:v>
                </c:pt>
              </c:strCache>
            </c:strRef>
          </c:cat>
          <c:val>
            <c:numRef>
              <c:f>Pivots!$B$65:$B$70</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549D-43AB-8390-F4F8A48881B4}"/>
            </c:ext>
          </c:extLst>
        </c:ser>
        <c:dLbls>
          <c:showLegendKey val="0"/>
          <c:showVal val="0"/>
          <c:showCatName val="0"/>
          <c:showSerName val="0"/>
          <c:showPercent val="0"/>
          <c:showBubbleSize val="0"/>
        </c:dLbls>
        <c:gapWidth val="25"/>
        <c:overlap val="-27"/>
        <c:axId val="1949894112"/>
        <c:axId val="1949894592"/>
      </c:barChart>
      <c:catAx>
        <c:axId val="194989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894592"/>
        <c:crosses val="autoZero"/>
        <c:auto val="1"/>
        <c:lblAlgn val="ctr"/>
        <c:lblOffset val="100"/>
        <c:noMultiLvlLbl val="0"/>
      </c:catAx>
      <c:valAx>
        <c:axId val="1949894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89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13</xdr:col>
      <xdr:colOff>80738</xdr:colOff>
      <xdr:row>15</xdr:row>
      <xdr:rowOff>155805</xdr:rowOff>
    </xdr:from>
    <xdr:to>
      <xdr:col>15</xdr:col>
      <xdr:colOff>438411</xdr:colOff>
      <xdr:row>25</xdr:row>
      <xdr:rowOff>114823</xdr:rowOff>
    </xdr:to>
    <mc:AlternateContent xmlns:mc="http://schemas.openxmlformats.org/markup-compatibility/2006">
      <mc:Choice xmlns:a14="http://schemas.microsoft.com/office/drawing/2010/main" Requires="a14">
        <xdr:graphicFrame macro="">
          <xdr:nvGraphicFramePr>
            <xdr:cNvPr id="3" name="Representative">
              <a:extLst>
                <a:ext uri="{FF2B5EF4-FFF2-40B4-BE49-F238E27FC236}">
                  <a16:creationId xmlns:a16="http://schemas.microsoft.com/office/drawing/2014/main" id="{D299EC7C-53F5-4152-BDA2-380B532B550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7867752" y="2974161"/>
              <a:ext cx="1693782" cy="1837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105384</xdr:colOff>
      <xdr:row>15</xdr:row>
      <xdr:rowOff>121596</xdr:rowOff>
    </xdr:from>
    <xdr:to>
      <xdr:col>13</xdr:col>
      <xdr:colOff>72959</xdr:colOff>
      <xdr:row>27</xdr:row>
      <xdr:rowOff>145915</xdr:rowOff>
    </xdr:to>
    <xdr:graphicFrame macro="">
      <xdr:nvGraphicFramePr>
        <xdr:cNvPr id="64" name="Chart 63">
          <a:extLst>
            <a:ext uri="{FF2B5EF4-FFF2-40B4-BE49-F238E27FC236}">
              <a16:creationId xmlns:a16="http://schemas.microsoft.com/office/drawing/2014/main" id="{0687734F-CB99-4137-922D-7E64E7A51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91707</xdr:colOff>
      <xdr:row>1</xdr:row>
      <xdr:rowOff>53340</xdr:rowOff>
    </xdr:from>
    <xdr:to>
      <xdr:col>4</xdr:col>
      <xdr:colOff>175261</xdr:colOff>
      <xdr:row>5</xdr:row>
      <xdr:rowOff>172630</xdr:rowOff>
    </xdr:to>
    <xdr:grpSp>
      <xdr:nvGrpSpPr>
        <xdr:cNvPr id="23" name="Group 22">
          <a:extLst>
            <a:ext uri="{FF2B5EF4-FFF2-40B4-BE49-F238E27FC236}">
              <a16:creationId xmlns:a16="http://schemas.microsoft.com/office/drawing/2014/main" id="{76D560C7-A10A-20C0-65DA-2A64E4D26C2D}"/>
            </a:ext>
          </a:extLst>
        </xdr:cNvPr>
        <xdr:cNvGrpSpPr/>
      </xdr:nvGrpSpPr>
      <xdr:grpSpPr>
        <a:xfrm>
          <a:off x="801515" y="241230"/>
          <a:ext cx="1419664" cy="870852"/>
          <a:chOff x="305067" y="792480"/>
          <a:chExt cx="1424674" cy="850810"/>
        </a:xfrm>
      </xdr:grpSpPr>
      <xdr:sp macro="" textlink="Pivots!A4">
        <xdr:nvSpPr>
          <xdr:cNvPr id="27" name="Rectangle 26">
            <a:extLst>
              <a:ext uri="{FF2B5EF4-FFF2-40B4-BE49-F238E27FC236}">
                <a16:creationId xmlns:a16="http://schemas.microsoft.com/office/drawing/2014/main" id="{BC86AE0F-00B4-433B-8190-459C7EAD8CE2}"/>
              </a:ext>
            </a:extLst>
          </xdr:cNvPr>
          <xdr:cNvSpPr/>
        </xdr:nvSpPr>
        <xdr:spPr>
          <a:xfrm>
            <a:off x="305067" y="792480"/>
            <a:ext cx="1424674" cy="850810"/>
          </a:xfrm>
          <a:prstGeom prst="rect">
            <a:avLst/>
          </a:prstGeom>
          <a:solidFill>
            <a:schemeClr val="accent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5F7DBDA-4F84-48DE-870D-D583F567850A}" type="TxLink">
              <a:rPr lang="en-US" sz="1800" b="1" i="0" u="none" strike="noStrike">
                <a:solidFill>
                  <a:schemeClr val="bg1">
                    <a:lumMod val="95000"/>
                  </a:schemeClr>
                </a:solidFill>
                <a:latin typeface="+mj-lt"/>
                <a:ea typeface="+mn-ea"/>
                <a:cs typeface="+mn-cs"/>
              </a:rPr>
              <a:pPr marL="0" indent="0" algn="ctr"/>
              <a:t>1,000</a:t>
            </a:fld>
            <a:endParaRPr lang="en-US" sz="1800" b="1" i="0" u="none" strike="noStrike">
              <a:solidFill>
                <a:schemeClr val="bg1">
                  <a:lumMod val="95000"/>
                </a:schemeClr>
              </a:solidFill>
              <a:latin typeface="+mj-lt"/>
              <a:ea typeface="+mn-ea"/>
              <a:cs typeface="+mn-cs"/>
            </a:endParaRPr>
          </a:p>
        </xdr:txBody>
      </xdr:sp>
      <xdr:sp macro="" textlink="">
        <xdr:nvSpPr>
          <xdr:cNvPr id="28" name="TextBox 27">
            <a:extLst>
              <a:ext uri="{FF2B5EF4-FFF2-40B4-BE49-F238E27FC236}">
                <a16:creationId xmlns:a16="http://schemas.microsoft.com/office/drawing/2014/main" id="{1C70436E-94AC-4E6F-937F-333332AF146E}"/>
              </a:ext>
            </a:extLst>
          </xdr:cNvPr>
          <xdr:cNvSpPr txBox="1"/>
        </xdr:nvSpPr>
        <xdr:spPr>
          <a:xfrm>
            <a:off x="437426" y="845714"/>
            <a:ext cx="1079567" cy="24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aseline="0">
                <a:solidFill>
                  <a:schemeClr val="bg1">
                    <a:lumMod val="95000"/>
                  </a:schemeClr>
                </a:solidFill>
                <a:latin typeface="+mj-lt"/>
              </a:rPr>
              <a:t>Call Counts</a:t>
            </a:r>
          </a:p>
        </xdr:txBody>
      </xdr:sp>
      <xdr:pic>
        <xdr:nvPicPr>
          <xdr:cNvPr id="29" name="Graphic 28" descr="Receiver with solid fill">
            <a:extLst>
              <a:ext uri="{FF2B5EF4-FFF2-40B4-BE49-F238E27FC236}">
                <a16:creationId xmlns:a16="http://schemas.microsoft.com/office/drawing/2014/main" id="{1F053DCA-DE68-47E8-B062-0D53187465F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344776">
            <a:off x="392945" y="883433"/>
            <a:ext cx="187349" cy="191047"/>
          </a:xfrm>
          <a:prstGeom prst="rect">
            <a:avLst/>
          </a:prstGeom>
          <a:effectLst>
            <a:outerShdw blurRad="50800" dist="38100" algn="l" rotWithShape="0">
              <a:prstClr val="black">
                <a:alpha val="40000"/>
              </a:prstClr>
            </a:outerShdw>
          </a:effectLst>
        </xdr:spPr>
      </xdr:pic>
      <xdr:sp macro="" textlink="Pivots!A9">
        <xdr:nvSpPr>
          <xdr:cNvPr id="30" name="TextBox 29">
            <a:extLst>
              <a:ext uri="{FF2B5EF4-FFF2-40B4-BE49-F238E27FC236}">
                <a16:creationId xmlns:a16="http://schemas.microsoft.com/office/drawing/2014/main" id="{15FFBC4A-5EBB-4E90-940D-AEA7917FB4F8}"/>
              </a:ext>
            </a:extLst>
          </xdr:cNvPr>
          <xdr:cNvSpPr txBox="1"/>
        </xdr:nvSpPr>
        <xdr:spPr>
          <a:xfrm>
            <a:off x="455124" y="1441357"/>
            <a:ext cx="999926" cy="166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8BDDB7B-D4F7-49F6-B565-4EF01F2A14EC}" type="TxLink">
              <a:rPr lang="en-US" sz="1100" b="0" i="0" u="none" strike="noStrike">
                <a:solidFill>
                  <a:schemeClr val="bg1">
                    <a:lumMod val="85000"/>
                  </a:schemeClr>
                </a:solidFill>
                <a:latin typeface="Aptos"/>
                <a:ea typeface="+mn-ea"/>
                <a:cs typeface="+mn-cs"/>
              </a:rPr>
              <a:pPr marL="0" indent="0" algn="ctr"/>
              <a:t>1000</a:t>
            </a:fld>
            <a:endParaRPr lang="en-IN" sz="1100" b="0" i="0" u="none" strike="noStrike">
              <a:solidFill>
                <a:schemeClr val="bg1">
                  <a:lumMod val="85000"/>
                </a:schemeClr>
              </a:solidFill>
              <a:latin typeface="Aptos"/>
              <a:ea typeface="+mn-ea"/>
              <a:cs typeface="+mn-cs"/>
            </a:endParaRPr>
          </a:p>
        </xdr:txBody>
      </xdr:sp>
    </xdr:grpSp>
    <xdr:clientData/>
  </xdr:twoCellAnchor>
  <xdr:twoCellAnchor>
    <xdr:from>
      <xdr:col>2</xdr:col>
      <xdr:colOff>91440</xdr:colOff>
      <xdr:row>6</xdr:row>
      <xdr:rowOff>60960</xdr:rowOff>
    </xdr:from>
    <xdr:to>
      <xdr:col>4</xdr:col>
      <xdr:colOff>174994</xdr:colOff>
      <xdr:row>10</xdr:row>
      <xdr:rowOff>180250</xdr:rowOff>
    </xdr:to>
    <xdr:grpSp>
      <xdr:nvGrpSpPr>
        <xdr:cNvPr id="24" name="Group 23">
          <a:extLst>
            <a:ext uri="{FF2B5EF4-FFF2-40B4-BE49-F238E27FC236}">
              <a16:creationId xmlns:a16="http://schemas.microsoft.com/office/drawing/2014/main" id="{989363C1-5AD2-6726-E272-40B4E7E71C8C}"/>
            </a:ext>
          </a:extLst>
        </xdr:cNvPr>
        <xdr:cNvGrpSpPr/>
      </xdr:nvGrpSpPr>
      <xdr:grpSpPr>
        <a:xfrm>
          <a:off x="801248" y="1188302"/>
          <a:ext cx="1419664" cy="870852"/>
          <a:chOff x="685800" y="2369820"/>
          <a:chExt cx="1424674" cy="850810"/>
        </a:xfrm>
      </xdr:grpSpPr>
      <xdr:sp macro="" textlink="Pivots!B4">
        <xdr:nvSpPr>
          <xdr:cNvPr id="8" name="Rectangle 7">
            <a:extLst>
              <a:ext uri="{FF2B5EF4-FFF2-40B4-BE49-F238E27FC236}">
                <a16:creationId xmlns:a16="http://schemas.microsoft.com/office/drawing/2014/main" id="{EBB6B6C2-24B4-4214-A0B7-E1B3FAB688F5}"/>
              </a:ext>
            </a:extLst>
          </xdr:cNvPr>
          <xdr:cNvSpPr/>
        </xdr:nvSpPr>
        <xdr:spPr>
          <a:xfrm>
            <a:off x="685800" y="2369820"/>
            <a:ext cx="1424674" cy="850810"/>
          </a:xfrm>
          <a:prstGeom prst="rect">
            <a:avLst/>
          </a:prstGeom>
          <a:solidFill>
            <a:schemeClr val="accent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422894D-7718-49FD-8099-BC46BCADC7E4}" type="TxLink">
              <a:rPr lang="en-US" sz="1800" b="1" i="0" u="none" strike="noStrike">
                <a:solidFill>
                  <a:schemeClr val="bg1">
                    <a:lumMod val="95000"/>
                  </a:schemeClr>
                </a:solidFill>
                <a:latin typeface="+mj-lt"/>
                <a:ea typeface="+mn-ea"/>
                <a:cs typeface="+mn-cs"/>
              </a:rPr>
              <a:pPr marL="0" indent="0" algn="ctr"/>
              <a:t>$96,623</a:t>
            </a:fld>
            <a:endParaRPr lang="en-US" sz="1800" b="1" i="0" u="none" strike="noStrike">
              <a:solidFill>
                <a:schemeClr val="bg1">
                  <a:lumMod val="95000"/>
                </a:schemeClr>
              </a:solidFill>
              <a:latin typeface="+mj-lt"/>
              <a:ea typeface="+mn-ea"/>
              <a:cs typeface="+mn-cs"/>
            </a:endParaRPr>
          </a:p>
        </xdr:txBody>
      </xdr:sp>
      <xdr:sp macro="" textlink="">
        <xdr:nvSpPr>
          <xdr:cNvPr id="9" name="TextBox 8">
            <a:extLst>
              <a:ext uri="{FF2B5EF4-FFF2-40B4-BE49-F238E27FC236}">
                <a16:creationId xmlns:a16="http://schemas.microsoft.com/office/drawing/2014/main" id="{37A09965-D336-41BC-90CB-BCF45522FCE8}"/>
              </a:ext>
            </a:extLst>
          </xdr:cNvPr>
          <xdr:cNvSpPr txBox="1"/>
        </xdr:nvSpPr>
        <xdr:spPr>
          <a:xfrm>
            <a:off x="863879" y="2407814"/>
            <a:ext cx="1079567" cy="24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aseline="0">
                <a:solidFill>
                  <a:schemeClr val="bg1">
                    <a:lumMod val="95000"/>
                  </a:schemeClr>
                </a:solidFill>
                <a:latin typeface="+mj-lt"/>
              </a:rPr>
              <a:t>Total Amount</a:t>
            </a:r>
          </a:p>
        </xdr:txBody>
      </xdr:sp>
      <xdr:pic>
        <xdr:nvPicPr>
          <xdr:cNvPr id="10" name="Graphic 9">
            <a:extLst>
              <a:ext uri="{FF2B5EF4-FFF2-40B4-BE49-F238E27FC236}">
                <a16:creationId xmlns:a16="http://schemas.microsoft.com/office/drawing/2014/main" id="{C2BF9606-4310-4C01-B981-EE001FCCC5E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766057" y="2424521"/>
            <a:ext cx="204379" cy="204379"/>
          </a:xfrm>
          <a:prstGeom prst="rect">
            <a:avLst/>
          </a:prstGeom>
          <a:effectLst>
            <a:outerShdw blurRad="50800" dist="38100" algn="l" rotWithShape="0">
              <a:prstClr val="black">
                <a:alpha val="40000"/>
              </a:prstClr>
            </a:outerShdw>
          </a:effectLst>
        </xdr:spPr>
      </xdr:pic>
      <xdr:sp macro="" textlink="Pivots!B9">
        <xdr:nvSpPr>
          <xdr:cNvPr id="11" name="TextBox 10">
            <a:extLst>
              <a:ext uri="{FF2B5EF4-FFF2-40B4-BE49-F238E27FC236}">
                <a16:creationId xmlns:a16="http://schemas.microsoft.com/office/drawing/2014/main" id="{A2FE82BA-2F55-48F1-AE25-C85CC5708049}"/>
              </a:ext>
            </a:extLst>
          </xdr:cNvPr>
          <xdr:cNvSpPr txBox="1"/>
        </xdr:nvSpPr>
        <xdr:spPr>
          <a:xfrm>
            <a:off x="881577" y="3003457"/>
            <a:ext cx="999926" cy="166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4F1BE39-AAEC-4232-B04D-5382AE3F3DF6}" type="TxLink">
              <a:rPr lang="en-US" sz="1100" b="0" i="0" u="none" strike="noStrike">
                <a:solidFill>
                  <a:schemeClr val="bg1">
                    <a:lumMod val="85000"/>
                  </a:schemeClr>
                </a:solidFill>
                <a:latin typeface="Aptos"/>
                <a:ea typeface="+mn-ea"/>
                <a:cs typeface="+mn-cs"/>
              </a:rPr>
              <a:pPr marL="0" indent="0" algn="ctr"/>
              <a:t>$96,623</a:t>
            </a:fld>
            <a:endParaRPr lang="en-IN" sz="1100" b="0" i="0" u="none" strike="noStrike">
              <a:solidFill>
                <a:schemeClr val="bg1">
                  <a:lumMod val="85000"/>
                </a:schemeClr>
              </a:solidFill>
              <a:latin typeface="Aptos"/>
              <a:ea typeface="+mn-ea"/>
              <a:cs typeface="+mn-cs"/>
            </a:endParaRPr>
          </a:p>
        </xdr:txBody>
      </xdr:sp>
    </xdr:grpSp>
    <xdr:clientData/>
  </xdr:twoCellAnchor>
  <xdr:twoCellAnchor>
    <xdr:from>
      <xdr:col>2</xdr:col>
      <xdr:colOff>76200</xdr:colOff>
      <xdr:row>11</xdr:row>
      <xdr:rowOff>114300</xdr:rowOff>
    </xdr:from>
    <xdr:to>
      <xdr:col>4</xdr:col>
      <xdr:colOff>159754</xdr:colOff>
      <xdr:row>16</xdr:row>
      <xdr:rowOff>50710</xdr:rowOff>
    </xdr:to>
    <xdr:grpSp>
      <xdr:nvGrpSpPr>
        <xdr:cNvPr id="32" name="Group 31">
          <a:extLst>
            <a:ext uri="{FF2B5EF4-FFF2-40B4-BE49-F238E27FC236}">
              <a16:creationId xmlns:a16="http://schemas.microsoft.com/office/drawing/2014/main" id="{9B84A86B-1AD3-8DF9-4406-F77F02EE8389}"/>
            </a:ext>
          </a:extLst>
        </xdr:cNvPr>
        <xdr:cNvGrpSpPr/>
      </xdr:nvGrpSpPr>
      <xdr:grpSpPr>
        <a:xfrm>
          <a:off x="786008" y="2181095"/>
          <a:ext cx="1419664" cy="875862"/>
          <a:chOff x="609600" y="3345180"/>
          <a:chExt cx="1424674" cy="850810"/>
        </a:xfrm>
      </xdr:grpSpPr>
      <xdr:sp macro="" textlink="Pivots!C4">
        <xdr:nvSpPr>
          <xdr:cNvPr id="12" name="Rectangle 11">
            <a:extLst>
              <a:ext uri="{FF2B5EF4-FFF2-40B4-BE49-F238E27FC236}">
                <a16:creationId xmlns:a16="http://schemas.microsoft.com/office/drawing/2014/main" id="{C5020E1A-E975-4C9E-958D-C3AAE5C5D3B9}"/>
              </a:ext>
            </a:extLst>
          </xdr:cNvPr>
          <xdr:cNvSpPr/>
        </xdr:nvSpPr>
        <xdr:spPr>
          <a:xfrm>
            <a:off x="609600" y="3345180"/>
            <a:ext cx="1424674" cy="850810"/>
          </a:xfrm>
          <a:prstGeom prst="rect">
            <a:avLst/>
          </a:prstGeom>
          <a:solidFill>
            <a:schemeClr val="accent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1DBA4AA-F9D2-44C2-A43B-0F8CA0D3A8C4}" type="TxLink">
              <a:rPr lang="en-US" sz="1800" b="1" i="0" u="none" strike="noStrike">
                <a:solidFill>
                  <a:schemeClr val="bg1">
                    <a:lumMod val="95000"/>
                  </a:schemeClr>
                </a:solidFill>
                <a:latin typeface="+mj-lt"/>
                <a:ea typeface="+mn-ea"/>
                <a:cs typeface="+mn-cs"/>
              </a:rPr>
              <a:pPr marL="0" indent="0" algn="ctr"/>
              <a:t>89850</a:t>
            </a:fld>
            <a:endParaRPr lang="en-US" sz="1800" b="1" i="0" u="none" strike="noStrike">
              <a:solidFill>
                <a:schemeClr val="bg1">
                  <a:lumMod val="95000"/>
                </a:schemeClr>
              </a:solidFill>
              <a:latin typeface="+mj-lt"/>
              <a:ea typeface="+mn-ea"/>
              <a:cs typeface="+mn-cs"/>
            </a:endParaRPr>
          </a:p>
        </xdr:txBody>
      </xdr:sp>
      <xdr:grpSp>
        <xdr:nvGrpSpPr>
          <xdr:cNvPr id="25" name="Group 24">
            <a:extLst>
              <a:ext uri="{FF2B5EF4-FFF2-40B4-BE49-F238E27FC236}">
                <a16:creationId xmlns:a16="http://schemas.microsoft.com/office/drawing/2014/main" id="{098D6AEB-74C3-039B-78A6-BD1B5AEDDAF3}"/>
              </a:ext>
            </a:extLst>
          </xdr:cNvPr>
          <xdr:cNvGrpSpPr/>
        </xdr:nvGrpSpPr>
        <xdr:grpSpPr>
          <a:xfrm>
            <a:off x="772439" y="3375554"/>
            <a:ext cx="1079567" cy="762106"/>
            <a:chOff x="772439" y="3375554"/>
            <a:chExt cx="1079567" cy="762106"/>
          </a:xfrm>
        </xdr:grpSpPr>
        <xdr:sp macro="" textlink="">
          <xdr:nvSpPr>
            <xdr:cNvPr id="13" name="TextBox 12">
              <a:extLst>
                <a:ext uri="{FF2B5EF4-FFF2-40B4-BE49-F238E27FC236}">
                  <a16:creationId xmlns:a16="http://schemas.microsoft.com/office/drawing/2014/main" id="{5C587B57-218A-4358-ACD2-F8C6F5F420ED}"/>
                </a:ext>
              </a:extLst>
            </xdr:cNvPr>
            <xdr:cNvSpPr txBox="1"/>
          </xdr:nvSpPr>
          <xdr:spPr>
            <a:xfrm>
              <a:off x="772439" y="3375554"/>
              <a:ext cx="1079567" cy="24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aseline="0">
                  <a:solidFill>
                    <a:schemeClr val="bg1">
                      <a:lumMod val="95000"/>
                    </a:schemeClr>
                  </a:solidFill>
                  <a:latin typeface="+mj-lt"/>
                </a:rPr>
                <a:t>Total  Duration</a:t>
              </a:r>
            </a:p>
          </xdr:txBody>
        </xdr:sp>
        <xdr:sp macro="" textlink="Pivots!C9">
          <xdr:nvSpPr>
            <xdr:cNvPr id="15" name="TextBox 14">
              <a:extLst>
                <a:ext uri="{FF2B5EF4-FFF2-40B4-BE49-F238E27FC236}">
                  <a16:creationId xmlns:a16="http://schemas.microsoft.com/office/drawing/2014/main" id="{91EF411B-37E6-4115-8265-66C955702432}"/>
                </a:ext>
              </a:extLst>
            </xdr:cNvPr>
            <xdr:cNvSpPr txBox="1"/>
          </xdr:nvSpPr>
          <xdr:spPr>
            <a:xfrm>
              <a:off x="790137" y="3971197"/>
              <a:ext cx="999926" cy="166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687D4A4-C3D6-425E-A859-0F284D6BAD25}" type="TxLink">
                <a:rPr lang="en-US" sz="1100" b="0" i="0" u="none" strike="noStrike">
                  <a:solidFill>
                    <a:schemeClr val="bg1">
                      <a:lumMod val="85000"/>
                    </a:schemeClr>
                  </a:solidFill>
                  <a:latin typeface="Aptos"/>
                  <a:ea typeface="+mn-ea"/>
                  <a:cs typeface="+mn-cs"/>
                </a:rPr>
                <a:pPr marL="0" indent="0" algn="ctr"/>
                <a:t>89850</a:t>
              </a:fld>
              <a:endParaRPr lang="en-IN" sz="1100" b="0" i="0" u="none" strike="noStrike">
                <a:solidFill>
                  <a:schemeClr val="bg1">
                    <a:lumMod val="85000"/>
                  </a:schemeClr>
                </a:solidFill>
                <a:latin typeface="Aptos"/>
                <a:ea typeface="+mn-ea"/>
                <a:cs typeface="+mn-cs"/>
              </a:endParaRPr>
            </a:p>
          </xdr:txBody>
        </xdr:sp>
      </xdr:grpSp>
    </xdr:grpSp>
    <xdr:clientData/>
  </xdr:twoCellAnchor>
  <xdr:twoCellAnchor>
    <xdr:from>
      <xdr:col>2</xdr:col>
      <xdr:colOff>99060</xdr:colOff>
      <xdr:row>16</xdr:row>
      <xdr:rowOff>167640</xdr:rowOff>
    </xdr:from>
    <xdr:to>
      <xdr:col>4</xdr:col>
      <xdr:colOff>182614</xdr:colOff>
      <xdr:row>21</xdr:row>
      <xdr:rowOff>104050</xdr:rowOff>
    </xdr:to>
    <xdr:grpSp>
      <xdr:nvGrpSpPr>
        <xdr:cNvPr id="26" name="Group 25">
          <a:extLst>
            <a:ext uri="{FF2B5EF4-FFF2-40B4-BE49-F238E27FC236}">
              <a16:creationId xmlns:a16="http://schemas.microsoft.com/office/drawing/2014/main" id="{573D4648-6719-4F14-9E7E-0C8CC6AB2A40}"/>
            </a:ext>
          </a:extLst>
        </xdr:cNvPr>
        <xdr:cNvGrpSpPr/>
      </xdr:nvGrpSpPr>
      <xdr:grpSpPr>
        <a:xfrm>
          <a:off x="808868" y="3173887"/>
          <a:ext cx="1419664" cy="875862"/>
          <a:chOff x="685800" y="4648200"/>
          <a:chExt cx="1424674" cy="850810"/>
        </a:xfrm>
      </xdr:grpSpPr>
      <xdr:sp macro="" textlink="Pivots!D4">
        <xdr:nvSpPr>
          <xdr:cNvPr id="16" name="Rectangle 15">
            <a:extLst>
              <a:ext uri="{FF2B5EF4-FFF2-40B4-BE49-F238E27FC236}">
                <a16:creationId xmlns:a16="http://schemas.microsoft.com/office/drawing/2014/main" id="{A5069BB6-16D7-4697-AE0E-7CEDC56B585E}"/>
              </a:ext>
            </a:extLst>
          </xdr:cNvPr>
          <xdr:cNvSpPr/>
        </xdr:nvSpPr>
        <xdr:spPr>
          <a:xfrm>
            <a:off x="685800" y="4648200"/>
            <a:ext cx="1424674" cy="850810"/>
          </a:xfrm>
          <a:prstGeom prst="rect">
            <a:avLst/>
          </a:prstGeom>
          <a:solidFill>
            <a:schemeClr val="accent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371C542-FCEC-4783-A827-C7C41608E10D}" type="TxLink">
              <a:rPr lang="en-US" sz="1800" b="1" i="0" u="none" strike="noStrike">
                <a:solidFill>
                  <a:schemeClr val="bg1">
                    <a:lumMod val="95000"/>
                  </a:schemeClr>
                </a:solidFill>
                <a:latin typeface="+mj-lt"/>
                <a:ea typeface="+mn-ea"/>
                <a:cs typeface="+mn-cs"/>
              </a:rPr>
              <a:pPr marL="0" indent="0" algn="ctr"/>
              <a:t>3.89</a:t>
            </a:fld>
            <a:endParaRPr lang="en-US" sz="1800" b="1" i="0" u="none" strike="noStrike">
              <a:solidFill>
                <a:schemeClr val="bg1">
                  <a:lumMod val="95000"/>
                </a:schemeClr>
              </a:solidFill>
              <a:latin typeface="+mj-lt"/>
              <a:ea typeface="+mn-ea"/>
              <a:cs typeface="+mn-cs"/>
            </a:endParaRPr>
          </a:p>
        </xdr:txBody>
      </xdr:sp>
      <xdr:sp macro="" textlink="">
        <xdr:nvSpPr>
          <xdr:cNvPr id="17" name="TextBox 16">
            <a:extLst>
              <a:ext uri="{FF2B5EF4-FFF2-40B4-BE49-F238E27FC236}">
                <a16:creationId xmlns:a16="http://schemas.microsoft.com/office/drawing/2014/main" id="{F6005CD1-832D-4FE1-A039-1710C2E70799}"/>
              </a:ext>
            </a:extLst>
          </xdr:cNvPr>
          <xdr:cNvSpPr txBox="1"/>
        </xdr:nvSpPr>
        <xdr:spPr>
          <a:xfrm>
            <a:off x="841019" y="4678574"/>
            <a:ext cx="1079567" cy="24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aseline="0">
                <a:solidFill>
                  <a:schemeClr val="bg1">
                    <a:lumMod val="95000"/>
                  </a:schemeClr>
                </a:solidFill>
                <a:latin typeface="+mj-lt"/>
              </a:rPr>
              <a:t>Average Rating</a:t>
            </a:r>
          </a:p>
        </xdr:txBody>
      </xdr:sp>
      <xdr:sp macro="" textlink="Pivots!D9">
        <xdr:nvSpPr>
          <xdr:cNvPr id="19" name="TextBox 18">
            <a:extLst>
              <a:ext uri="{FF2B5EF4-FFF2-40B4-BE49-F238E27FC236}">
                <a16:creationId xmlns:a16="http://schemas.microsoft.com/office/drawing/2014/main" id="{AF37EEC9-4C22-48C8-828E-1436C1EEF476}"/>
              </a:ext>
            </a:extLst>
          </xdr:cNvPr>
          <xdr:cNvSpPr txBox="1"/>
        </xdr:nvSpPr>
        <xdr:spPr>
          <a:xfrm>
            <a:off x="858717" y="5274217"/>
            <a:ext cx="999926" cy="166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96B8662-1C84-47ED-B348-0FEB291687E1}" type="TxLink">
              <a:rPr lang="en-US" sz="1100" b="0" i="0" u="none" strike="noStrike">
                <a:solidFill>
                  <a:schemeClr val="bg1">
                    <a:lumMod val="85000"/>
                  </a:schemeClr>
                </a:solidFill>
                <a:latin typeface="Aptos"/>
                <a:ea typeface="+mn-ea"/>
                <a:cs typeface="+mn-cs"/>
              </a:rPr>
              <a:pPr marL="0" indent="0" algn="ctr"/>
              <a:t>3.89</a:t>
            </a:fld>
            <a:endParaRPr lang="en-IN" sz="1100" b="0" i="0" u="none" strike="noStrike">
              <a:solidFill>
                <a:schemeClr val="bg1">
                  <a:lumMod val="85000"/>
                </a:schemeClr>
              </a:solidFill>
              <a:latin typeface="Aptos"/>
              <a:ea typeface="+mn-ea"/>
              <a:cs typeface="+mn-cs"/>
            </a:endParaRPr>
          </a:p>
        </xdr:txBody>
      </xdr:sp>
    </xdr:grpSp>
    <xdr:clientData/>
  </xdr:twoCellAnchor>
  <xdr:twoCellAnchor>
    <xdr:from>
      <xdr:col>2</xdr:col>
      <xdr:colOff>106680</xdr:colOff>
      <xdr:row>21</xdr:row>
      <xdr:rowOff>175260</xdr:rowOff>
    </xdr:from>
    <xdr:to>
      <xdr:col>4</xdr:col>
      <xdr:colOff>190234</xdr:colOff>
      <xdr:row>26</xdr:row>
      <xdr:rowOff>111670</xdr:rowOff>
    </xdr:to>
    <xdr:grpSp>
      <xdr:nvGrpSpPr>
        <xdr:cNvPr id="31" name="Group 30">
          <a:extLst>
            <a:ext uri="{FF2B5EF4-FFF2-40B4-BE49-F238E27FC236}">
              <a16:creationId xmlns:a16="http://schemas.microsoft.com/office/drawing/2014/main" id="{89C34894-7DFF-3FF7-3EDF-653117CA839C}"/>
            </a:ext>
          </a:extLst>
        </xdr:cNvPr>
        <xdr:cNvGrpSpPr/>
      </xdr:nvGrpSpPr>
      <xdr:grpSpPr>
        <a:xfrm>
          <a:off x="816488" y="4120959"/>
          <a:ext cx="1419664" cy="875862"/>
          <a:chOff x="708660" y="6035040"/>
          <a:chExt cx="1424674" cy="850810"/>
        </a:xfrm>
      </xdr:grpSpPr>
      <xdr:sp macro="" textlink="Pivots!E4">
        <xdr:nvSpPr>
          <xdr:cNvPr id="20" name="Rectangle 19">
            <a:extLst>
              <a:ext uri="{FF2B5EF4-FFF2-40B4-BE49-F238E27FC236}">
                <a16:creationId xmlns:a16="http://schemas.microsoft.com/office/drawing/2014/main" id="{7F8ACE90-48E0-42F0-A884-46A0C8088D0F}"/>
              </a:ext>
            </a:extLst>
          </xdr:cNvPr>
          <xdr:cNvSpPr/>
        </xdr:nvSpPr>
        <xdr:spPr>
          <a:xfrm>
            <a:off x="708660" y="6035040"/>
            <a:ext cx="1424674" cy="850810"/>
          </a:xfrm>
          <a:prstGeom prst="rect">
            <a:avLst/>
          </a:prstGeom>
          <a:solidFill>
            <a:schemeClr val="accent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1D634C2-6D21-4712-9B7C-5D4A3B5C50EE}" type="TxLink">
              <a:rPr lang="en-US" sz="1800" b="1" i="0" u="none" strike="noStrike">
                <a:solidFill>
                  <a:schemeClr val="bg1">
                    <a:lumMod val="95000"/>
                  </a:schemeClr>
                </a:solidFill>
                <a:latin typeface="+mj-lt"/>
                <a:ea typeface="+mn-ea"/>
                <a:cs typeface="+mn-cs"/>
              </a:rPr>
              <a:pPr marL="0" indent="0" algn="ctr"/>
              <a:t>307</a:t>
            </a:fld>
            <a:endParaRPr lang="en-US" sz="1800" b="1" i="0" u="none" strike="noStrike">
              <a:solidFill>
                <a:schemeClr val="bg1">
                  <a:lumMod val="95000"/>
                </a:schemeClr>
              </a:solidFill>
              <a:latin typeface="+mj-lt"/>
              <a:ea typeface="+mn-ea"/>
              <a:cs typeface="+mn-cs"/>
            </a:endParaRPr>
          </a:p>
        </xdr:txBody>
      </xdr:sp>
      <xdr:sp macro="" textlink="">
        <xdr:nvSpPr>
          <xdr:cNvPr id="21" name="TextBox 20">
            <a:extLst>
              <a:ext uri="{FF2B5EF4-FFF2-40B4-BE49-F238E27FC236}">
                <a16:creationId xmlns:a16="http://schemas.microsoft.com/office/drawing/2014/main" id="{F0CCC4D6-83F5-4E86-89CB-1748622F50D3}"/>
              </a:ext>
            </a:extLst>
          </xdr:cNvPr>
          <xdr:cNvSpPr txBox="1"/>
        </xdr:nvSpPr>
        <xdr:spPr>
          <a:xfrm>
            <a:off x="863879" y="6065414"/>
            <a:ext cx="1079567" cy="24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aseline="0">
                <a:solidFill>
                  <a:schemeClr val="bg1">
                    <a:lumMod val="95000"/>
                  </a:schemeClr>
                </a:solidFill>
                <a:latin typeface="+mj-lt"/>
              </a:rPr>
              <a:t>Happy Customer</a:t>
            </a:r>
          </a:p>
        </xdr:txBody>
      </xdr:sp>
      <xdr:sp macro="" textlink="Pivots!E9">
        <xdr:nvSpPr>
          <xdr:cNvPr id="22" name="TextBox 21">
            <a:extLst>
              <a:ext uri="{FF2B5EF4-FFF2-40B4-BE49-F238E27FC236}">
                <a16:creationId xmlns:a16="http://schemas.microsoft.com/office/drawing/2014/main" id="{B2AFEDB9-AD34-4565-8953-F2A3E89D2A9A}"/>
              </a:ext>
            </a:extLst>
          </xdr:cNvPr>
          <xdr:cNvSpPr txBox="1"/>
        </xdr:nvSpPr>
        <xdr:spPr>
          <a:xfrm>
            <a:off x="881577" y="6661057"/>
            <a:ext cx="999926" cy="166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4D4E9C-C0DE-41BA-A66C-569789253B0A}" type="TxLink">
              <a:rPr lang="en-US" sz="1100" b="0" i="0" u="none" strike="noStrike">
                <a:solidFill>
                  <a:schemeClr val="bg1">
                    <a:lumMod val="85000"/>
                  </a:schemeClr>
                </a:solidFill>
                <a:latin typeface="Aptos"/>
                <a:ea typeface="+mn-ea"/>
                <a:cs typeface="+mn-cs"/>
              </a:rPr>
              <a:pPr marL="0" indent="0" algn="ctr"/>
              <a:t>307</a:t>
            </a:fld>
            <a:endParaRPr lang="en-IN" sz="1100" b="0" i="0" u="none" strike="noStrike">
              <a:solidFill>
                <a:schemeClr val="bg1">
                  <a:lumMod val="85000"/>
                </a:schemeClr>
              </a:solidFill>
              <a:latin typeface="Aptos"/>
              <a:ea typeface="+mn-ea"/>
              <a:cs typeface="+mn-cs"/>
            </a:endParaRPr>
          </a:p>
        </xdr:txBody>
      </xdr:sp>
    </xdr:grpSp>
    <xdr:clientData/>
  </xdr:twoCellAnchor>
  <xdr:twoCellAnchor editAs="oneCell">
    <xdr:from>
      <xdr:col>2</xdr:col>
      <xdr:colOff>167641</xdr:colOff>
      <xdr:row>11</xdr:row>
      <xdr:rowOff>160021</xdr:rowOff>
    </xdr:from>
    <xdr:to>
      <xdr:col>2</xdr:col>
      <xdr:colOff>368193</xdr:colOff>
      <xdr:row>12</xdr:row>
      <xdr:rowOff>175260</xdr:rowOff>
    </xdr:to>
    <xdr:pic>
      <xdr:nvPicPr>
        <xdr:cNvPr id="33" name="Graphic 32" descr="Hourglass Finished with solid fill">
          <a:extLst>
            <a:ext uri="{FF2B5EF4-FFF2-40B4-BE49-F238E27FC236}">
              <a16:creationId xmlns:a16="http://schemas.microsoft.com/office/drawing/2014/main" id="{569DCD8D-8667-4A2D-8531-5F825431825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76301" y="2171701"/>
          <a:ext cx="200552" cy="198119"/>
        </a:xfrm>
        <a:prstGeom prst="rect">
          <a:avLst/>
        </a:prstGeom>
      </xdr:spPr>
    </xdr:pic>
    <xdr:clientData/>
  </xdr:twoCellAnchor>
  <xdr:twoCellAnchor editAs="oneCell">
    <xdr:from>
      <xdr:col>2</xdr:col>
      <xdr:colOff>129541</xdr:colOff>
      <xdr:row>16</xdr:row>
      <xdr:rowOff>160021</xdr:rowOff>
    </xdr:from>
    <xdr:to>
      <xdr:col>2</xdr:col>
      <xdr:colOff>350521</xdr:colOff>
      <xdr:row>18</xdr:row>
      <xdr:rowOff>91440</xdr:rowOff>
    </xdr:to>
    <xdr:pic>
      <xdr:nvPicPr>
        <xdr:cNvPr id="34" name="Graphic 33" descr="Rating Star with solid fill">
          <a:extLst>
            <a:ext uri="{FF2B5EF4-FFF2-40B4-BE49-F238E27FC236}">
              <a16:creationId xmlns:a16="http://schemas.microsoft.com/office/drawing/2014/main" id="{615A30C1-946C-4900-9906-32CE683810A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838201" y="3086101"/>
          <a:ext cx="220980" cy="297179"/>
        </a:xfrm>
        <a:prstGeom prst="rect">
          <a:avLst/>
        </a:prstGeom>
      </xdr:spPr>
    </xdr:pic>
    <xdr:clientData/>
  </xdr:twoCellAnchor>
  <xdr:twoCellAnchor editAs="oneCell">
    <xdr:from>
      <xdr:col>2</xdr:col>
      <xdr:colOff>129541</xdr:colOff>
      <xdr:row>22</xdr:row>
      <xdr:rowOff>43462</xdr:rowOff>
    </xdr:from>
    <xdr:to>
      <xdr:col>2</xdr:col>
      <xdr:colOff>350521</xdr:colOff>
      <xdr:row>23</xdr:row>
      <xdr:rowOff>76200</xdr:rowOff>
    </xdr:to>
    <xdr:pic>
      <xdr:nvPicPr>
        <xdr:cNvPr id="35" name="Graphic 34" descr="Star-struck face outline with solid fill">
          <a:extLst>
            <a:ext uri="{FF2B5EF4-FFF2-40B4-BE49-F238E27FC236}">
              <a16:creationId xmlns:a16="http://schemas.microsoft.com/office/drawing/2014/main" id="{647C2968-AA8C-4718-B6D6-659E94D3469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38201" y="4066822"/>
          <a:ext cx="220980" cy="215618"/>
        </a:xfrm>
        <a:prstGeom prst="rect">
          <a:avLst/>
        </a:prstGeom>
      </xdr:spPr>
    </xdr:pic>
    <xdr:clientData/>
  </xdr:twoCellAnchor>
  <xdr:twoCellAnchor>
    <xdr:from>
      <xdr:col>11</xdr:col>
      <xdr:colOff>81387</xdr:colOff>
      <xdr:row>1</xdr:row>
      <xdr:rowOff>170072</xdr:rowOff>
    </xdr:from>
    <xdr:to>
      <xdr:col>15</xdr:col>
      <xdr:colOff>470169</xdr:colOff>
      <xdr:row>13</xdr:row>
      <xdr:rowOff>101492</xdr:rowOff>
    </xdr:to>
    <xdr:graphicFrame macro="">
      <xdr:nvGraphicFramePr>
        <xdr:cNvPr id="63" name="Chart 62">
          <a:extLst>
            <a:ext uri="{FF2B5EF4-FFF2-40B4-BE49-F238E27FC236}">
              <a16:creationId xmlns:a16="http://schemas.microsoft.com/office/drawing/2014/main" id="{A2722F24-03D5-4B4A-BB83-3076FC650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218871</xdr:colOff>
      <xdr:row>15</xdr:row>
      <xdr:rowOff>121597</xdr:rowOff>
    </xdr:from>
    <xdr:to>
      <xdr:col>13</xdr:col>
      <xdr:colOff>89171</xdr:colOff>
      <xdr:row>27</xdr:row>
      <xdr:rowOff>170234</xdr:rowOff>
    </xdr:to>
    <xdr:sp macro="" textlink="">
      <xdr:nvSpPr>
        <xdr:cNvPr id="66" name="Rectangle 65">
          <a:extLst>
            <a:ext uri="{FF2B5EF4-FFF2-40B4-BE49-F238E27FC236}">
              <a16:creationId xmlns:a16="http://schemas.microsoft.com/office/drawing/2014/main" id="{CEB15405-EDA1-7E26-1E59-643CF27553C9}"/>
            </a:ext>
          </a:extLst>
        </xdr:cNvPr>
        <xdr:cNvSpPr/>
      </xdr:nvSpPr>
      <xdr:spPr>
        <a:xfrm>
          <a:off x="2675105" y="2918299"/>
          <a:ext cx="5252938" cy="2285999"/>
        </a:xfrm>
        <a:prstGeom prst="rect">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213360</xdr:colOff>
      <xdr:row>1</xdr:row>
      <xdr:rowOff>30480</xdr:rowOff>
    </xdr:from>
    <xdr:to>
      <xdr:col>11</xdr:col>
      <xdr:colOff>213360</xdr:colOff>
      <xdr:row>15</xdr:row>
      <xdr:rowOff>0</xdr:rowOff>
    </xdr:to>
    <xdr:graphicFrame macro="">
      <xdr:nvGraphicFramePr>
        <xdr:cNvPr id="38" name="Chart 37">
          <a:extLst>
            <a:ext uri="{FF2B5EF4-FFF2-40B4-BE49-F238E27FC236}">
              <a16:creationId xmlns:a16="http://schemas.microsoft.com/office/drawing/2014/main" id="{948AD6D7-F56A-4EC1-88FC-86378C397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218872</xdr:colOff>
      <xdr:row>15</xdr:row>
      <xdr:rowOff>129702</xdr:rowOff>
    </xdr:from>
    <xdr:to>
      <xdr:col>10</xdr:col>
      <xdr:colOff>178340</xdr:colOff>
      <xdr:row>27</xdr:row>
      <xdr:rowOff>145915</xdr:rowOff>
    </xdr:to>
    <xdr:graphicFrame macro="">
      <xdr:nvGraphicFramePr>
        <xdr:cNvPr id="65" name="Chart 64">
          <a:extLst>
            <a:ext uri="{FF2B5EF4-FFF2-40B4-BE49-F238E27FC236}">
              <a16:creationId xmlns:a16="http://schemas.microsoft.com/office/drawing/2014/main" id="{4EB4B2EA-D508-48A9-8ECF-EB0A73C9A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77056</xdr:colOff>
      <xdr:row>1</xdr:row>
      <xdr:rowOff>128430</xdr:rowOff>
    </xdr:from>
    <xdr:to>
      <xdr:col>19</xdr:col>
      <xdr:colOff>462337</xdr:colOff>
      <xdr:row>13</xdr:row>
      <xdr:rowOff>154113</xdr:rowOff>
    </xdr:to>
    <xdr:graphicFrame macro="">
      <xdr:nvGraphicFramePr>
        <xdr:cNvPr id="2" name="Chart 1">
          <a:extLst>
            <a:ext uri="{FF2B5EF4-FFF2-40B4-BE49-F238E27FC236}">
              <a16:creationId xmlns:a16="http://schemas.microsoft.com/office/drawing/2014/main" id="{0764435F-8069-44CB-BED5-219A226FB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610222</xdr:colOff>
      <xdr:row>1</xdr:row>
      <xdr:rowOff>59933</xdr:rowOff>
    </xdr:from>
    <xdr:to>
      <xdr:col>23</xdr:col>
      <xdr:colOff>426872</xdr:colOff>
      <xdr:row>15</xdr:row>
      <xdr:rowOff>11645</xdr:rowOff>
    </xdr:to>
    <xdr:graphicFrame macro="">
      <xdr:nvGraphicFramePr>
        <xdr:cNvPr id="5" name="Chart 4">
          <a:extLst>
            <a:ext uri="{FF2B5EF4-FFF2-40B4-BE49-F238E27FC236}">
              <a16:creationId xmlns:a16="http://schemas.microsoft.com/office/drawing/2014/main" id="{7881D178-43D3-4CE7-AA11-028BB18C7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Kumari" refreshedDate="46186.785799884259" backgroundQuery="1" createdVersion="8" refreshedVersion="8" minRefreshableVersion="3" recordCount="0" supportSubquery="1" supportAdvancedDrill="1" xr:uid="{44BA1FE6-8B23-4728-93AC-86C0A3658530}">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Happy Customer]" caption="Happy Customer"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Happy Customer]" caption="Happy Customer"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Kumari" refreshedDate="46186.839734027781" backgroundQuery="1" createdVersion="8" refreshedVersion="8" minRefreshableVersion="3" recordCount="0" supportSubquery="1" supportAdvancedDrill="1" xr:uid="{9CC14B44-A2B9-4A8B-BBEC-26A749CCC166}">
  <cacheSource type="external" connectionId="1"/>
  <cacheFields count="4">
    <cacheField name="[calls].[Representative].[Representative]" caption="Representative" numFmtId="0" hierarchy="3" level="1">
      <sharedItems count="5">
        <s v="R01"/>
        <s v="R02"/>
        <s v="R03"/>
        <s v="R04"/>
        <s v="R05"/>
      </sharedItems>
    </cacheField>
    <cacheField name="[calls].[Day of week].[Day of week]" caption="Day of week" numFmtId="0" hierarchy="8" level="1">
      <sharedItems count="7">
        <s v="Friday"/>
        <s v="Monday"/>
        <s v="Saturday"/>
        <s v="Sunday"/>
        <s v="Thursday"/>
        <s v="Tuesday"/>
        <s v="Wednesday"/>
      </sharedItems>
    </cacheField>
    <cacheField name="[Measures].[Total Amount]" caption="Total Amount" numFmtId="0" hierarchy="18" level="32767"/>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Kumari" refreshedDate="46189.635590509257" backgroundQuery="1" createdVersion="8" refreshedVersion="8" minRefreshableVersion="3" recordCount="0" supportSubquery="1" supportAdvancedDrill="1" xr:uid="{D8B0A296-B794-444A-8DC1-305F481B00FB}">
  <cacheSource type="external" connectionId="1"/>
  <cacheFields count="5">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3"/>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4"/>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Kumari" refreshedDate="46189.658161805557" backgroundQuery="1" createdVersion="8" refreshedVersion="8" minRefreshableVersion="3" recordCount="0" supportSubquery="1" supportAdvancedDrill="1" xr:uid="{2B29F763-B4EE-4761-B06A-1A545CA87873}">
  <cacheSource type="external" connectionId="1"/>
  <cacheFields count="5">
    <cacheField name="[calls].[Representative].[Representative]" caption="Representative" numFmtId="0" hierarchy="3" level="1">
      <sharedItems count="5">
        <s v="R01"/>
        <s v="R02"/>
        <s v="R03"/>
        <s v="R04"/>
        <s v="R05"/>
      </sharedItems>
    </cacheField>
    <cacheField name="[calls].[Day of week].[Day of week]" caption="Day of week" numFmtId="0" hierarchy="8" level="1">
      <sharedItems count="7">
        <s v="Friday"/>
        <s v="Monday"/>
        <s v="Saturday"/>
        <s v="Sunday"/>
        <s v="Thursday"/>
        <s v="Tuesday"/>
        <s v="Wednesday"/>
      </sharedItems>
    </cacheField>
    <cacheField name="[customers].[City].[City]" caption="City" numFmtId="0" hierarchy="15" level="1">
      <sharedItems count="3">
        <s v="Cincinnati"/>
        <s v="Cleveland"/>
        <s v="Columbus"/>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3"/>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4"/>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Kumari" refreshedDate="46189.68806886574" backgroundQuery="1" createdVersion="8" refreshedVersion="8" minRefreshableVersion="3" recordCount="0" supportSubquery="1" supportAdvancedDrill="1" xr:uid="{10BCFB8B-B1EE-4C1C-ACC4-FDDE5381B0B7}">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Happy Customer]" caption="Happy Customer"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Happy Customer]" caption="Happy Customer"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Kumari" refreshedDate="46189.688069328702" backgroundQuery="1" createdVersion="8" refreshedVersion="8" minRefreshableVersion="3" recordCount="0" supportSubquery="1" supportAdvancedDrill="1" xr:uid="{1AFB9108-C588-4B1E-ACF0-63F5B3F5BB8E}">
  <cacheSource type="external" connectionId="1"/>
  <cacheFields count="4">
    <cacheField name="[calls].[Representative].[Representative]" caption="Representative" numFmtId="0" hierarchy="3" level="1">
      <sharedItems containsSemiMixedTypes="0" containsNonDate="0" containsString="0"/>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Kumari" refreshedDate="46189.688069791664" backgroundQuery="1" createdVersion="8" refreshedVersion="8" minRefreshableVersion="3" recordCount="0" supportSubquery="1" supportAdvancedDrill="1" xr:uid="{8CE35D5D-2779-4432-AF67-2E4B7F6783C1}">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ount of Customer ID]" caption="Count of Customer ID" numFmtId="0" hierarchy="25"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Kumari" refreshedDate="46189.688070138887" backgroundQuery="1" createdVersion="8" refreshedVersion="8" minRefreshableVersion="3" recordCount="0" supportSubquery="1" supportAdvancedDrill="1" xr:uid="{F1D2D5A0-E6EB-4254-A535-FB57BBE8743B}">
  <cacheSource type="external" connectionId="1"/>
  <cacheFields count="1">
    <cacheField name="[calls].[Representative].[Representative]" caption="Representative" numFmtId="0" hierarchy="3" level="1">
      <sharedItems count="5">
        <s v="R01"/>
        <s v="R02"/>
        <s v="R03"/>
        <s v="R04"/>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Kumari" refreshedDate="46189.688070486111" backgroundQuery="1" createdVersion="8" refreshedVersion="8" minRefreshableVersion="3" recordCount="0" supportSubquery="1" supportAdvancedDrill="1" xr:uid="{845749B0-59E6-45A7-9C89-9E07F473AF5A}">
  <cacheSource type="external" connectionId="1"/>
  <cacheFields count="4">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3"/>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Kumari" refreshedDate="46186.785795023148" backgroundQuery="1" createdVersion="3" refreshedVersion="8" minRefreshableVersion="3" recordCount="0" supportSubquery="1" supportAdvancedDrill="1" xr:uid="{B3A15770-CA6C-4CF8-855A-15BFF4240BE8}">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654223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FE864F-4963-43B7-B0D0-AE0FD1E72E95}" name="PivotTable5" cacheId="914" applyNumberFormats="0" applyBorderFormats="0" applyFontFormats="0" applyPatternFormats="0" applyAlignmentFormats="0" applyWidthHeightFormats="1" dataCaption="Values" updatedVersion="8" minRefreshableVersion="3" showDrill="0" useAutoFormatting="1" subtotalHiddenItems="1" rowGrandTotals="0" itemPrintTitles="1" createdVersion="8" indent="0" showHeaders="0" outline="1" outlineData="1" multipleFieldFilters="0" chartFormat="34">
  <location ref="E64:K83" firstHeaderRow="1" firstDataRow="2" firstDataCol="1"/>
  <pivotFields count="5">
    <pivotField axis="axisCol" allDrilled="1"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llDrilled="1" showAll="0" sortType="ascending" defaultSubtotal="0" defaultAttributeDrillState="1">
      <items count="7">
        <item x="3"/>
        <item x="1"/>
        <item x="5"/>
        <item x="6"/>
        <item x="4"/>
        <item x="0"/>
        <item x="2"/>
      </items>
      <extLst>
        <ext xmlns:x14="http://schemas.microsoft.com/office/spreadsheetml/2009/9/main" uri="{2946ED86-A175-432a-8AC1-64E0C546D7DE}">
          <x14:pivotField fillDownLabels="1"/>
        </ext>
      </extLst>
    </pivotField>
    <pivotField axis="axisRow" allDrilled="1"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axis="axisRow" allDrilled="1" showAll="0" dataSourceSort="1" defaultSubtotal="0" defaultAttributeDrillState="1">
      <items count="15">
        <item x="0"/>
        <item x="1"/>
        <item x="2"/>
        <item x="3"/>
        <item x="4"/>
        <item x="5"/>
        <item x="6"/>
        <item x="7"/>
        <item x="8"/>
        <item x="9"/>
        <item x="10"/>
        <item x="11"/>
        <item x="12"/>
        <item x="13"/>
        <item x="14"/>
      </items>
      <extLst>
        <ext xmlns:x14="http://schemas.microsoft.com/office/spreadsheetml/2009/9/main" uri="{2946ED86-A175-432a-8AC1-64E0C546D7DE}">
          <x14:pivotField fillDownLabels="1"/>
        </ext>
      </extLst>
    </pivotField>
    <pivotField dataField="1" showAll="0" defaultSubtotal="0">
      <extLst>
        <ext xmlns:x14="http://schemas.microsoft.com/office/spreadsheetml/2009/9/main" uri="{2946ED86-A175-432a-8AC1-64E0C546D7DE}">
          <x14:pivotField fillDownLabels="1"/>
        </ext>
      </extLst>
    </pivotField>
  </pivotFields>
  <rowFields count="2">
    <field x="2"/>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4" subtotal="count" baseField="0" baseItem="0"/>
  </dataFields>
  <conditionalFormats count="6">
    <conditionalFormat priority="6">
      <pivotAreas count="1">
        <pivotArea type="data" collapsedLevelsAreSubtotals="1" fieldPosition="0">
          <references count="2">
            <reference field="4294967294" count="1" selected="0">
              <x v="0"/>
            </reference>
            <reference field="2" count="1">
              <x v="0"/>
            </reference>
          </references>
        </pivotArea>
      </pivotAreas>
    </conditionalFormat>
    <conditionalFormat priority="5">
      <pivotAreas count="1">
        <pivotArea type="data" collapsedLevelsAreSubtotals="1" fieldPosition="0">
          <references count="2">
            <reference field="4294967294" count="1" selected="0">
              <x v="0"/>
            </reference>
            <reference field="2" count="1">
              <x v="0"/>
            </reference>
          </references>
        </pivotArea>
      </pivotAreas>
    </conditionalFormat>
    <conditionalFormat priority="4">
      <pivotAreas count="1">
        <pivotArea type="data" collapsedLevelsAreSubtotals="1" fieldPosition="0">
          <references count="2">
            <reference field="4294967294" count="1" selected="0">
              <x v="0"/>
            </reference>
            <reference field="2" count="1">
              <x v="0"/>
            </reference>
          </references>
        </pivotArea>
      </pivotAreas>
    </conditionalFormat>
    <conditionalFormat priority="3">
      <pivotAreas count="1">
        <pivotArea type="data" collapsedLevelsAreSubtotals="1" fieldPosition="0">
          <references count="2">
            <reference field="4294967294" count="1" selected="0">
              <x v="0"/>
            </reference>
            <reference field="2" count="1">
              <x v="0"/>
            </reference>
          </references>
        </pivotArea>
      </pivotAreas>
    </conditionalFormat>
    <conditionalFormat priority="2">
      <pivotAreas count="1">
        <pivotArea type="data" collapsedLevelsAreSubtotals="1" fieldPosition="0">
          <references count="2">
            <reference field="4294967294" count="1" selected="0">
              <x v="0"/>
            </reference>
            <reference field="2" count="1">
              <x v="0"/>
            </reference>
          </references>
        </pivotArea>
      </pivotAreas>
    </conditionalFormat>
    <conditionalFormat priority="1">
      <pivotAreas count="1">
        <pivotArea type="data" collapsedLevelsAreSubtotals="1" fieldPosition="0">
          <references count="2">
            <reference field="4294967294" count="1" selected="0">
              <x v="0"/>
            </reference>
            <reference field="2" count="1">
              <x v="0"/>
            </reference>
          </references>
        </pivotArea>
      </pivotAreas>
    </conditionalFormat>
  </conditional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0"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6240AA-9EB3-4EAA-9A94-DD8179D58D86}" name="PivotTable2" cacheId="227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4">
  <location ref="A64:B70" firstHeaderRow="1" firstDataRow="1" firstDataCol="1"/>
  <pivotFields count="4">
    <pivotField allDrilled="1" subtotalTop="0" showAll="0" dataSourceSort="1" defaultSubtotal="0" defaultAttributeDrillState="1"/>
    <pivotField allDrilled="1" subtotalTop="0" showAll="0" sortType="ascending" defaultSubtotal="0" defaultAttributeDrillState="1">
      <items count="7">
        <item x="3"/>
        <item x="1"/>
        <item x="5"/>
        <item x="6"/>
        <item x="4"/>
        <item x="0"/>
        <item x="2"/>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3"/>
  </rowFields>
  <rowItems count="6">
    <i>
      <x/>
    </i>
    <i>
      <x v="1"/>
    </i>
    <i>
      <x v="2"/>
    </i>
    <i>
      <x v="3"/>
    </i>
    <i>
      <x v="4"/>
    </i>
    <i>
      <x v="5"/>
    </i>
  </rowItems>
  <colItems count="1">
    <i/>
  </colItems>
  <dataFields count="1">
    <dataField fld="2" subtotal="count" baseField="0" baseItem="0"/>
  </dataFields>
  <chartFormats count="3">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D77740-9838-4545-B440-2E7A66BDAD5A}" name="PivotTable1" cacheId="51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3">
  <location ref="F58:H62" firstHeaderRow="1" firstDataRow="2" firstDataCol="1"/>
  <pivotFields count="5">
    <pivotField allDrilled="1" subtotalTop="0" showAll="0" dataSourceSort="1" defaultSubtotal="0" defaultAttributeDrillState="1"/>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x v="2"/>
    </i>
  </rowItems>
  <colFields count="1">
    <field x="3"/>
  </colFields>
  <colItems count="2">
    <i>
      <x/>
    </i>
    <i>
      <x v="1"/>
    </i>
  </colItems>
  <dataFields count="1">
    <dataField fld="4" subtotal="count" baseField="0" baseItem="0"/>
  </dataFields>
  <chartFormats count="3">
    <chartFormat chart="26" format="4" series="1">
      <pivotArea type="data" outline="0" fieldPosition="0">
        <references count="2">
          <reference field="4294967294" count="1" selected="0">
            <x v="0"/>
          </reference>
          <reference field="3" count="1" selected="0">
            <x v="0"/>
          </reference>
        </references>
      </pivotArea>
    </chartFormat>
    <chartFormat chart="26" format="5" series="1">
      <pivotArea type="data" outline="0" fieldPosition="0">
        <references count="2">
          <reference field="4294967294" count="1" selected="0">
            <x v="0"/>
          </reference>
          <reference field="3" count="1" selected="0">
            <x v="1"/>
          </reference>
        </references>
      </pivotArea>
    </chartFormat>
    <chartFormat chart="26" format="6">
      <pivotArea type="data" outline="0" fieldPosition="0">
        <references count="3">
          <reference field="4294967294" count="1" selected="0">
            <x v="0"/>
          </reference>
          <reference field="2" count="1" selected="0">
            <x v="0"/>
          </reference>
          <reference field="3"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0D8B37-FE45-41A8-88E9-978EA578C2F2}"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3"/>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268037-F6C1-47F1-BFAB-B9C8828895DA}" name="rep pivot" cacheId="22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5BD94A-4FB5-406D-96B9-18A63265BB9B}" name="Selected Rep" cacheId="2267"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location ref="A52:A57"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3D4867-ED52-4E96-A375-ECE78E6C388E}" name="Rep"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43:C49" firstHeaderRow="0" firstDataRow="1" firstDataCol="1"/>
  <pivotFields count="4">
    <pivotField axis="axisRow" allDrilled="1" subtotalTop="0" showAll="0"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3" subtotal="count" baseField="0" baseItem="0"/>
    <dataField fld="2"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E345BF-AB96-4E8B-BF62-373B875D59DA}" name="Weekly trend pivot" cacheId="22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30:B38"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Count of Customer ID" fld="2" subtotal="count" baseField="0" baseItem="0"/>
  </dataFields>
  <chartFormats count="1">
    <chartFormat chart="11" format="3"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05CB5F-132D-4F80-9F64-12F6211EF642}" name="monthly trend " cacheId="22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A12:C25" firstHeaderRow="0" firstDataRow="1" firstDataCol="1"/>
  <pivotFields count="4">
    <pivotField allDrilled="1" subtotalTop="0" showAll="0" dataSourceSort="1" defaultSubtotal="0" defaultAttributeDrillState="1"/>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3" subtotal="count" baseField="0" baseItem="0">
      <extLst>
        <ext xmlns:x14="http://schemas.microsoft.com/office/spreadsheetml/2009/9/main" uri="{E15A36E0-9728-4e99-A89B-3F7291B0FE68}">
          <x14:dataField sourceField="2" uniqueName="[__Xl2].[Measures].[Call Count]"/>
        </ext>
      </extLst>
    </dataField>
  </dataFields>
  <chartFormats count="2">
    <chartFormat chart="20" format="8" series="1">
      <pivotArea type="data" outline="0" fieldPosition="0">
        <references count="1">
          <reference field="4294967294" count="1" selected="0">
            <x v="1"/>
          </reference>
        </references>
      </pivotArea>
    </chartFormat>
    <chartFormat chart="20" format="9"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11</v>
  </rv>
  <rv s="1">
    <v>1</v>
    <v>5</v>
    <v>A person in a suit and tie
Description automatically generated</v>
  </rv>
  <rv s="1">
    <v>2</v>
    <v>5</v>
    <v>Business woman raising hand</v>
  </rv>
  <rv s="1">
    <v>3</v>
    <v>5</v>
    <v>Young businessman writing on notebook</v>
  </rv>
  <rv s="1">
    <v>4</v>
    <v>5</v>
    <v>Business woman shrugging</v>
  </rv>
</rvData>
</file>

<file path=xl/richData/rdrichvaluestructure.xml><?xml version="1.0" encoding="utf-8"?>
<rvStructures xmlns="http://schemas.microsoft.com/office/spreadsheetml/2017/richdata" count="2">
  <s t="_error">
    <k n="error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01CD792D-B4CD-4C51-AEF4-F62E35E8C4D1}" sourceName="[calls].[Representative]">
  <pivotTables>
    <pivotTable tabId="7" name="rep pivot"/>
    <pivotTable tabId="7" name="monthly trend "/>
    <pivotTable tabId="7" name="Weekly trend pivot"/>
    <pivotTable tabId="7" name="Selected Rep"/>
    <pivotTable tabId="7" name="PivotTable2"/>
  </pivotTables>
  <data>
    <olap pivotCacheId="196542235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40A36A7-AD2F-4389-96B9-C378EE466305}" cache="Slicer_Representative" caption="Representative" level="1" style="SlicerStyleLight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7"/>
    <tableColumn id="5" xr3:uid="{5A35565E-8707-4DED-AD15-A0669D67B382}" name="Date of Call" dataDxfId="16"/>
    <tableColumn id="6" xr3:uid="{F2E4F158-B41F-47BC-8DF8-DFCADFEE4E40}" name="Purchase Amount"/>
    <tableColumn id="7" xr3:uid="{04B291B5-47BD-4F78-8FD8-D1551CCA6BD9}" name="Satisfaction Rating"/>
    <tableColumn id="8" xr3:uid="{6E4123C0-0B17-43B8-A142-A1E540CE974C}" name="FY" dataDxfId="15">
      <calculatedColumnFormula>IF(MONTH(calls[[#This Row],[Date of Call]])&lt;=6, YEAR(calls[[#This Row],[Date of Call]]), YEAR(calls[[#This Row],[Date of Call]])+1)</calculatedColumnFormula>
    </tableColumn>
    <tableColumn id="9" xr3:uid="{199FA271-5E9B-46CE-9BC6-2801F92CD17E}" name="Day of week" dataDxfId="14">
      <calculatedColumnFormula>TEXT(calls[[#This Row],[Date of Call]],"DDDD")</calculatedColumnFormula>
    </tableColumn>
    <tableColumn id="10" xr3:uid="{328CDB09-95B8-4D5E-9ED9-EF0D363735A1}" name="Duration Bucket" dataDxfId="13">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2">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1" headerRowBorderDxfId="10" tableBorderDxfId="9" totalsRowBorderDxfId="8">
  <autoFilter ref="Q3:T18" xr:uid="{27158F51-A707-4171-8A04-81FB0AABCBA5}"/>
  <tableColumns count="4">
    <tableColumn id="1" xr3:uid="{02688061-6A8C-4E23-B7FF-D00CD8B58CAC}" name="Customer ID" dataDxfId="7"/>
    <tableColumn id="2" xr3:uid="{771678B6-DB44-426B-9874-B4E421A440D5}" name="Gedner" dataDxfId="6"/>
    <tableColumn id="3" xr3:uid="{B0D41C62-587E-494D-B49A-603F2C05F8D3}" name="Age" dataDxfId="5"/>
    <tableColumn id="4" xr3:uid="{663F92D6-FE31-4D81-9E01-8D066DDC8A88}" name="City" data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C1" zoomScale="115" zoomScaleNormal="115" workbookViewId="0">
      <selection activeCell="D14" sqref="D14"/>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ABC70-0CE6-4ED1-90D6-CA796D42B547}">
  <dimension ref="A1:AE44"/>
  <sheetViews>
    <sheetView tabSelected="1" zoomScale="73" zoomScaleNormal="73" workbookViewId="0">
      <selection activeCell="N33" sqref="N33"/>
    </sheetView>
  </sheetViews>
  <sheetFormatPr defaultRowHeight="14.4" x14ac:dyDescent="0.3"/>
  <cols>
    <col min="1" max="1" width="5.296875" customWidth="1"/>
    <col min="2" max="2" width="4" customWidth="1"/>
    <col min="5" max="5" width="5.19921875" customWidth="1"/>
    <col min="18" max="18" width="10.59765625" customWidth="1"/>
    <col min="19" max="19" width="10" customWidth="1"/>
    <col min="20" max="20" width="11.59765625" customWidth="1"/>
    <col min="21" max="21" width="12.5" customWidth="1"/>
    <col min="22" max="22" width="11.296875" customWidth="1"/>
  </cols>
  <sheetData>
    <row r="1" spans="1:31"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row>
    <row r="2" spans="1:31"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row>
    <row r="3" spans="1:31"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row>
    <row r="4" spans="1:31"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row>
    <row r="5" spans="1:3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row>
    <row r="6" spans="1:31" x14ac:dyDescent="0.3">
      <c r="A6" s="20"/>
      <c r="B6" s="20"/>
      <c r="C6" s="20"/>
      <c r="D6" s="20"/>
      <c r="E6" s="25"/>
      <c r="F6" s="20"/>
      <c r="G6" s="20"/>
      <c r="H6" s="20"/>
      <c r="I6" s="20"/>
      <c r="J6" s="20"/>
      <c r="K6" s="20"/>
      <c r="L6" s="20"/>
      <c r="M6" s="20"/>
      <c r="N6" s="20"/>
      <c r="O6" s="20"/>
      <c r="P6" s="20"/>
      <c r="Q6" s="20"/>
      <c r="R6" s="20"/>
      <c r="S6" s="20"/>
      <c r="T6" s="20"/>
      <c r="U6" s="20"/>
      <c r="V6" s="20"/>
      <c r="W6" s="20"/>
      <c r="X6" s="20"/>
      <c r="Y6" s="20"/>
      <c r="Z6" s="20"/>
      <c r="AA6" s="20"/>
      <c r="AB6" s="20"/>
      <c r="AC6" s="20"/>
      <c r="AD6" s="20"/>
      <c r="AE6" s="20"/>
    </row>
    <row r="7" spans="1:31"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spans="1:31"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row>
    <row r="9" spans="1:31"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row>
    <row r="10" spans="1:31"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spans="1:31"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spans="1:31"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spans="1:31"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spans="1:31"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spans="1:31"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spans="1:31"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spans="1:31" x14ac:dyDescent="0.3">
      <c r="A17" s="20"/>
      <c r="B17" s="20"/>
      <c r="C17" s="20"/>
      <c r="D17" s="20"/>
      <c r="E17" s="20"/>
      <c r="F17" s="20"/>
      <c r="G17" s="20"/>
      <c r="H17" s="20"/>
      <c r="I17" s="20"/>
      <c r="J17" s="20"/>
      <c r="K17" s="20"/>
      <c r="L17" s="20"/>
      <c r="M17" s="20"/>
      <c r="N17" s="20"/>
      <c r="O17" s="20"/>
      <c r="P17" s="20"/>
      <c r="Q17" s="31" t="str" cm="1">
        <f t="array" ref="Q17:W35">IF(Pivots!E65:K83 = "","",Pivots!E65:K83)</f>
        <v/>
      </c>
      <c r="R17" s="20" t="str">
        <v>R01</v>
      </c>
      <c r="S17" s="20" t="str">
        <v>R02</v>
      </c>
      <c r="T17" s="20" t="str">
        <v>R03</v>
      </c>
      <c r="U17" s="20" t="str">
        <v>R04</v>
      </c>
      <c r="V17" s="20" t="str">
        <v>R05</v>
      </c>
      <c r="W17" s="20" t="str">
        <v>Grand Total</v>
      </c>
      <c r="X17" s="20"/>
      <c r="Y17" s="20"/>
      <c r="Z17" s="20"/>
      <c r="AA17" s="20"/>
      <c r="AB17" s="20"/>
      <c r="AC17" s="20"/>
      <c r="AD17" s="20"/>
      <c r="AE17" s="20"/>
    </row>
    <row r="18" spans="1:31" x14ac:dyDescent="0.3">
      <c r="A18" s="20"/>
      <c r="B18" s="20"/>
      <c r="C18" s="20"/>
      <c r="D18" s="20"/>
      <c r="E18" s="20"/>
      <c r="F18" s="20"/>
      <c r="G18" s="20"/>
      <c r="H18" s="20"/>
      <c r="I18" s="20"/>
      <c r="J18" s="20"/>
      <c r="K18" s="20"/>
      <c r="L18" s="20"/>
      <c r="M18" s="20"/>
      <c r="N18" s="20"/>
      <c r="O18" s="20"/>
      <c r="P18" s="20"/>
      <c r="Q18" s="20" t="str">
        <v>Cincinnati</v>
      </c>
      <c r="R18" s="32" t="str">
        <v/>
      </c>
      <c r="S18" s="32" t="str">
        <v/>
      </c>
      <c r="T18" s="32" t="str">
        <v/>
      </c>
      <c r="U18" s="32" t="str">
        <v/>
      </c>
      <c r="V18" s="32" t="str">
        <v/>
      </c>
      <c r="W18" s="32" t="str">
        <v/>
      </c>
      <c r="X18" s="20"/>
      <c r="Y18" s="20"/>
      <c r="Z18" s="20"/>
      <c r="AA18" s="20"/>
      <c r="AB18" s="20"/>
      <c r="AC18" s="20"/>
      <c r="AD18" s="20"/>
      <c r="AE18" s="20"/>
    </row>
    <row r="19" spans="1:31" x14ac:dyDescent="0.3">
      <c r="A19" s="20"/>
      <c r="B19" s="20"/>
      <c r="C19" s="20"/>
      <c r="D19" s="20"/>
      <c r="E19" s="20"/>
      <c r="F19" s="20"/>
      <c r="G19" s="20"/>
      <c r="H19" s="20"/>
      <c r="I19" s="20"/>
      <c r="J19" s="20"/>
      <c r="K19" s="20"/>
      <c r="L19" s="20"/>
      <c r="M19" s="20"/>
      <c r="N19" s="20"/>
      <c r="O19" s="20"/>
      <c r="P19" s="20"/>
      <c r="Q19" s="31" t="str">
        <v>C0003</v>
      </c>
      <c r="R19" s="32">
        <v>891</v>
      </c>
      <c r="S19" s="32">
        <v>1332</v>
      </c>
      <c r="T19" s="32">
        <v>1282</v>
      </c>
      <c r="U19" s="32">
        <v>739</v>
      </c>
      <c r="V19" s="32">
        <v>560</v>
      </c>
      <c r="W19" s="32">
        <v>4804</v>
      </c>
      <c r="X19" s="20"/>
      <c r="Y19" s="20"/>
      <c r="Z19" s="20"/>
      <c r="AA19" s="20"/>
      <c r="AB19" s="20"/>
      <c r="AC19" s="20"/>
      <c r="AD19" s="20"/>
      <c r="AE19" s="20"/>
    </row>
    <row r="20" spans="1:31" x14ac:dyDescent="0.3">
      <c r="A20" s="20"/>
      <c r="B20" s="20"/>
      <c r="C20" s="20"/>
      <c r="D20" s="20"/>
      <c r="E20" s="20"/>
      <c r="F20" s="20"/>
      <c r="G20" s="20"/>
      <c r="H20" s="20"/>
      <c r="I20" s="20"/>
      <c r="J20" s="20"/>
      <c r="K20" s="20"/>
      <c r="L20" s="20"/>
      <c r="M20" s="20"/>
      <c r="N20" s="20"/>
      <c r="O20" s="20"/>
      <c r="P20" s="20"/>
      <c r="Q20" s="31" t="str">
        <v>C0004</v>
      </c>
      <c r="R20" s="33">
        <v>1991</v>
      </c>
      <c r="S20" s="33">
        <v>1886</v>
      </c>
      <c r="T20" s="33">
        <v>1206</v>
      </c>
      <c r="U20" s="33">
        <v>884</v>
      </c>
      <c r="V20" s="33">
        <v>1722</v>
      </c>
      <c r="W20" s="33">
        <v>7689</v>
      </c>
      <c r="X20" s="20"/>
      <c r="Y20" s="20"/>
      <c r="Z20" s="20"/>
      <c r="AA20" s="20"/>
      <c r="AB20" s="20"/>
      <c r="AC20" s="20"/>
      <c r="AD20" s="20"/>
      <c r="AE20" s="20"/>
    </row>
    <row r="21" spans="1:31" x14ac:dyDescent="0.3">
      <c r="A21" s="20"/>
      <c r="B21" s="20"/>
      <c r="C21" s="20"/>
      <c r="D21" s="20"/>
      <c r="E21" s="20"/>
      <c r="F21" s="20"/>
      <c r="G21" s="20"/>
      <c r="H21" s="20"/>
      <c r="I21" s="20"/>
      <c r="J21" s="20"/>
      <c r="K21" s="20"/>
      <c r="L21" s="20"/>
      <c r="M21" s="20"/>
      <c r="N21" s="20"/>
      <c r="O21" s="20"/>
      <c r="P21" s="20"/>
      <c r="Q21" s="31" t="str">
        <v>C0011</v>
      </c>
      <c r="R21" s="33">
        <v>1163</v>
      </c>
      <c r="S21" s="33">
        <v>1180</v>
      </c>
      <c r="T21" s="33">
        <v>1616</v>
      </c>
      <c r="U21" s="33">
        <v>1043</v>
      </c>
      <c r="V21" s="33">
        <v>1747</v>
      </c>
      <c r="W21" s="33">
        <v>6749</v>
      </c>
      <c r="X21" s="20"/>
      <c r="Y21" s="20"/>
      <c r="Z21" s="20"/>
      <c r="AA21" s="20"/>
      <c r="AB21" s="20"/>
      <c r="AC21" s="20"/>
      <c r="AD21" s="20"/>
      <c r="AE21" s="20"/>
    </row>
    <row r="22" spans="1:31" x14ac:dyDescent="0.3">
      <c r="A22" s="20"/>
      <c r="B22" s="20"/>
      <c r="C22" s="20"/>
      <c r="D22" s="20"/>
      <c r="E22" s="20"/>
      <c r="F22" s="20"/>
      <c r="G22" s="20"/>
      <c r="H22" s="20"/>
      <c r="I22" s="20"/>
      <c r="J22" s="20"/>
      <c r="K22" s="20"/>
      <c r="L22" s="20"/>
      <c r="M22" s="20"/>
      <c r="N22" s="20"/>
      <c r="O22" s="20"/>
      <c r="P22" s="20"/>
      <c r="Q22" s="31" t="str">
        <v>C0012</v>
      </c>
      <c r="R22" s="33">
        <v>1438</v>
      </c>
      <c r="S22" s="33">
        <v>1616</v>
      </c>
      <c r="T22" s="33">
        <v>866</v>
      </c>
      <c r="U22" s="33">
        <v>829</v>
      </c>
      <c r="V22" s="33">
        <v>2070</v>
      </c>
      <c r="W22" s="33">
        <v>6819</v>
      </c>
      <c r="X22" s="20"/>
      <c r="Y22" s="20"/>
      <c r="Z22" s="20"/>
      <c r="AA22" s="20"/>
      <c r="AB22" s="20"/>
      <c r="AC22" s="20"/>
      <c r="AD22" s="20"/>
      <c r="AE22" s="20"/>
    </row>
    <row r="23" spans="1:31" x14ac:dyDescent="0.3">
      <c r="A23" s="20"/>
      <c r="B23" s="20"/>
      <c r="C23" s="20"/>
      <c r="D23" s="20"/>
      <c r="E23" s="20"/>
      <c r="F23" s="20"/>
      <c r="G23" s="20"/>
      <c r="H23" s="20"/>
      <c r="I23" s="20"/>
      <c r="J23" s="20"/>
      <c r="K23" s="20"/>
      <c r="L23" s="20"/>
      <c r="M23" s="20"/>
      <c r="N23" s="20"/>
      <c r="O23" s="20"/>
      <c r="P23" s="20"/>
      <c r="Q23" s="31" t="str">
        <v>Cleveland</v>
      </c>
      <c r="R23" s="33" t="str">
        <v/>
      </c>
      <c r="S23" s="33" t="str">
        <v/>
      </c>
      <c r="T23" s="33" t="str">
        <v/>
      </c>
      <c r="U23" s="33" t="str">
        <v/>
      </c>
      <c r="V23" s="33" t="str">
        <v/>
      </c>
      <c r="W23" s="33" t="str">
        <v/>
      </c>
      <c r="X23" s="20"/>
      <c r="Y23" s="20"/>
      <c r="Z23" s="20"/>
      <c r="AA23" s="20"/>
      <c r="AB23" s="20"/>
      <c r="AC23" s="20"/>
      <c r="AD23" s="20"/>
      <c r="AE23" s="20"/>
    </row>
    <row r="24" spans="1:31" x14ac:dyDescent="0.3">
      <c r="A24" s="20"/>
      <c r="B24" s="20"/>
      <c r="C24" s="20"/>
      <c r="D24" s="20"/>
      <c r="E24" s="20"/>
      <c r="F24" s="20"/>
      <c r="G24" s="20"/>
      <c r="H24" s="20"/>
      <c r="I24" s="20"/>
      <c r="J24" s="20"/>
      <c r="K24" s="20"/>
      <c r="L24" s="20"/>
      <c r="M24" s="20"/>
      <c r="N24" s="20"/>
      <c r="O24" s="20"/>
      <c r="P24" s="20"/>
      <c r="Q24" s="31" t="str">
        <v>C0002</v>
      </c>
      <c r="R24" s="33">
        <v>1233</v>
      </c>
      <c r="S24" s="33">
        <v>223</v>
      </c>
      <c r="T24" s="33">
        <v>1680</v>
      </c>
      <c r="U24" s="33">
        <v>990</v>
      </c>
      <c r="V24" s="33">
        <v>1508</v>
      </c>
      <c r="W24" s="33">
        <v>5634</v>
      </c>
      <c r="X24" s="20"/>
      <c r="Y24" s="20"/>
      <c r="Z24" s="20"/>
      <c r="AA24" s="20"/>
      <c r="AB24" s="20"/>
      <c r="AC24" s="20"/>
      <c r="AD24" s="20"/>
      <c r="AE24" s="20"/>
    </row>
    <row r="25" spans="1:31" x14ac:dyDescent="0.3">
      <c r="A25" s="20"/>
      <c r="B25" s="20"/>
      <c r="C25" s="20"/>
      <c r="D25" s="20"/>
      <c r="E25" s="20"/>
      <c r="F25" s="20"/>
      <c r="G25" s="20"/>
      <c r="H25" s="20"/>
      <c r="I25" s="20"/>
      <c r="J25" s="20"/>
      <c r="K25" s="20"/>
      <c r="L25" s="20"/>
      <c r="M25" s="20"/>
      <c r="N25" s="20"/>
      <c r="O25" s="20"/>
      <c r="P25" s="20"/>
      <c r="Q25" s="31" t="str">
        <v>C0007</v>
      </c>
      <c r="R25" s="33">
        <v>1598</v>
      </c>
      <c r="S25" s="33">
        <v>1907</v>
      </c>
      <c r="T25" s="33">
        <v>869</v>
      </c>
      <c r="U25" s="33">
        <v>1426</v>
      </c>
      <c r="V25" s="33">
        <v>1416</v>
      </c>
      <c r="W25" s="33">
        <v>7216</v>
      </c>
      <c r="X25" s="20"/>
      <c r="Y25" s="20"/>
      <c r="Z25" s="20"/>
      <c r="AA25" s="20"/>
      <c r="AB25" s="20"/>
      <c r="AC25" s="20"/>
      <c r="AD25" s="20"/>
      <c r="AE25" s="20"/>
    </row>
    <row r="26" spans="1:31" x14ac:dyDescent="0.3">
      <c r="A26" s="20"/>
      <c r="B26" s="20"/>
      <c r="C26" s="20"/>
      <c r="D26" s="20"/>
      <c r="E26" s="20"/>
      <c r="F26" s="20"/>
      <c r="G26" s="20"/>
      <c r="H26" s="20"/>
      <c r="I26" s="20"/>
      <c r="J26" s="20"/>
      <c r="K26" s="20"/>
      <c r="L26" s="20"/>
      <c r="M26" s="20"/>
      <c r="N26" s="20"/>
      <c r="O26" s="20"/>
      <c r="P26" s="20"/>
      <c r="Q26" s="31" t="str">
        <v>C0008</v>
      </c>
      <c r="R26" s="33">
        <v>900</v>
      </c>
      <c r="S26" s="33">
        <v>1016</v>
      </c>
      <c r="T26" s="33">
        <v>960</v>
      </c>
      <c r="U26" s="33">
        <v>940</v>
      </c>
      <c r="V26" s="33">
        <v>1193</v>
      </c>
      <c r="W26" s="33">
        <v>5009</v>
      </c>
      <c r="X26" s="20"/>
      <c r="Y26" s="20"/>
      <c r="Z26" s="20"/>
      <c r="AA26" s="20"/>
      <c r="AB26" s="20"/>
      <c r="AC26" s="20"/>
      <c r="AD26" s="20"/>
      <c r="AE26" s="20"/>
    </row>
    <row r="27" spans="1:31" x14ac:dyDescent="0.3">
      <c r="A27" s="20"/>
      <c r="B27" s="20"/>
      <c r="C27" s="20"/>
      <c r="D27" s="20"/>
      <c r="E27" s="20"/>
      <c r="F27" s="20"/>
      <c r="G27" s="20"/>
      <c r="H27" s="20"/>
      <c r="I27" s="20"/>
      <c r="J27" s="20"/>
      <c r="K27" s="20"/>
      <c r="L27" s="20"/>
      <c r="M27" s="20"/>
      <c r="N27" s="20"/>
      <c r="O27" s="20"/>
      <c r="P27" s="20"/>
      <c r="Q27" s="31" t="str">
        <v>C0010</v>
      </c>
      <c r="R27" s="33">
        <v>900</v>
      </c>
      <c r="S27" s="33">
        <v>1470</v>
      </c>
      <c r="T27" s="33">
        <v>1617</v>
      </c>
      <c r="U27" s="33">
        <v>1314</v>
      </c>
      <c r="V27" s="33">
        <v>941</v>
      </c>
      <c r="W27" s="33">
        <v>6242</v>
      </c>
      <c r="X27" s="20"/>
      <c r="Y27" s="20"/>
      <c r="Z27" s="20"/>
      <c r="AA27" s="20"/>
      <c r="AB27" s="20"/>
      <c r="AC27" s="20"/>
      <c r="AD27" s="20"/>
      <c r="AE27" s="20"/>
    </row>
    <row r="28" spans="1:31" x14ac:dyDescent="0.3">
      <c r="A28" s="20"/>
      <c r="B28" s="20"/>
      <c r="C28" s="20"/>
      <c r="D28" s="20"/>
      <c r="E28" s="20"/>
      <c r="F28" s="20"/>
      <c r="G28" s="20"/>
      <c r="H28" s="20"/>
      <c r="I28" s="20"/>
      <c r="J28" s="20"/>
      <c r="K28" s="20"/>
      <c r="L28" s="20"/>
      <c r="M28" s="20"/>
      <c r="N28" s="20"/>
      <c r="O28" s="20"/>
      <c r="P28" s="20"/>
      <c r="Q28" s="31" t="str">
        <v>C0013</v>
      </c>
      <c r="R28" s="33">
        <v>1255</v>
      </c>
      <c r="S28" s="33">
        <v>516</v>
      </c>
      <c r="T28" s="33">
        <v>1874</v>
      </c>
      <c r="U28" s="33">
        <v>1863</v>
      </c>
      <c r="V28" s="33">
        <v>1722</v>
      </c>
      <c r="W28" s="33">
        <v>7230</v>
      </c>
      <c r="X28" s="20"/>
      <c r="Y28" s="20"/>
      <c r="Z28" s="20"/>
      <c r="AA28" s="20"/>
      <c r="AB28" s="20"/>
      <c r="AC28" s="20"/>
      <c r="AD28" s="20"/>
      <c r="AE28" s="20"/>
    </row>
    <row r="29" spans="1:31" x14ac:dyDescent="0.3">
      <c r="A29" s="20"/>
      <c r="B29" s="20"/>
      <c r="C29" s="20"/>
      <c r="D29" s="20"/>
      <c r="E29" s="20"/>
      <c r="F29" s="20"/>
      <c r="G29" s="20"/>
      <c r="H29" s="20"/>
      <c r="I29" s="20"/>
      <c r="J29" s="20"/>
      <c r="K29" s="20"/>
      <c r="L29" s="20"/>
      <c r="M29" s="20"/>
      <c r="N29" s="20"/>
      <c r="O29" s="20"/>
      <c r="P29" s="20"/>
      <c r="Q29" s="31" t="str">
        <v>C0015</v>
      </c>
      <c r="R29" s="33">
        <v>1138</v>
      </c>
      <c r="S29" s="33">
        <v>1898</v>
      </c>
      <c r="T29" s="33">
        <v>1482</v>
      </c>
      <c r="U29" s="33">
        <v>846</v>
      </c>
      <c r="V29" s="33">
        <v>1154</v>
      </c>
      <c r="W29" s="33">
        <v>6518</v>
      </c>
      <c r="X29" s="20"/>
      <c r="Y29" s="20"/>
      <c r="Z29" s="20"/>
      <c r="AA29" s="20"/>
      <c r="AB29" s="20"/>
      <c r="AC29" s="20"/>
      <c r="AD29" s="20"/>
      <c r="AE29" s="20"/>
    </row>
    <row r="30" spans="1:31" x14ac:dyDescent="0.3">
      <c r="A30" s="20"/>
      <c r="B30" s="20"/>
      <c r="C30" s="20"/>
      <c r="D30" s="20"/>
      <c r="E30" s="20"/>
      <c r="F30" s="20"/>
      <c r="G30" s="20"/>
      <c r="H30" s="20"/>
      <c r="I30" s="20"/>
      <c r="J30" s="20"/>
      <c r="K30" s="20"/>
      <c r="L30" s="20"/>
      <c r="M30" s="20"/>
      <c r="N30" s="20"/>
      <c r="O30" s="20"/>
      <c r="P30" s="20"/>
      <c r="Q30" s="31" t="str">
        <v>Columbus</v>
      </c>
      <c r="R30" s="33" t="str">
        <v/>
      </c>
      <c r="S30" s="33" t="str">
        <v/>
      </c>
      <c r="T30" s="33" t="str">
        <v/>
      </c>
      <c r="U30" s="33" t="str">
        <v/>
      </c>
      <c r="V30" s="33" t="str">
        <v/>
      </c>
      <c r="W30" s="33" t="str">
        <v/>
      </c>
      <c r="X30" s="20"/>
      <c r="Y30" s="20"/>
      <c r="Z30" s="20"/>
      <c r="AA30" s="20"/>
      <c r="AB30" s="20"/>
      <c r="AC30" s="20"/>
      <c r="AD30" s="20"/>
      <c r="AE30" s="20"/>
    </row>
    <row r="31" spans="1:31" x14ac:dyDescent="0.3">
      <c r="A31" s="20"/>
      <c r="B31" s="20"/>
      <c r="C31" s="20"/>
      <c r="D31" s="20"/>
      <c r="E31" s="20"/>
      <c r="F31" s="20"/>
      <c r="G31" s="20"/>
      <c r="H31" s="20"/>
      <c r="I31" s="20"/>
      <c r="J31" s="20"/>
      <c r="K31" s="20"/>
      <c r="L31" s="20"/>
      <c r="M31" s="20"/>
      <c r="N31" s="20"/>
      <c r="O31" s="20"/>
      <c r="P31" s="20"/>
      <c r="Q31" s="31" t="str">
        <v>C0001</v>
      </c>
      <c r="R31" s="33">
        <v>1655</v>
      </c>
      <c r="S31" s="33">
        <v>805</v>
      </c>
      <c r="T31" s="33">
        <v>2263</v>
      </c>
      <c r="U31" s="33">
        <v>987</v>
      </c>
      <c r="V31" s="33">
        <v>1075</v>
      </c>
      <c r="W31" s="33">
        <v>6785</v>
      </c>
      <c r="X31" s="20"/>
      <c r="Y31" s="20"/>
      <c r="Z31" s="20"/>
      <c r="AA31" s="20"/>
      <c r="AB31" s="20"/>
      <c r="AC31" s="20"/>
      <c r="AD31" s="20"/>
      <c r="AE31" s="20"/>
    </row>
    <row r="32" spans="1:31" x14ac:dyDescent="0.3">
      <c r="A32" s="20"/>
      <c r="B32" s="20"/>
      <c r="C32" s="20"/>
      <c r="D32" s="20"/>
      <c r="E32" s="20"/>
      <c r="F32" s="20"/>
      <c r="G32" s="20"/>
      <c r="H32" s="20"/>
      <c r="I32" s="20"/>
      <c r="J32" s="20"/>
      <c r="K32" s="20"/>
      <c r="L32" s="20"/>
      <c r="M32" s="20"/>
      <c r="N32" s="20"/>
      <c r="O32" s="20"/>
      <c r="P32" s="20"/>
      <c r="Q32" s="31" t="str">
        <v>C0005</v>
      </c>
      <c r="R32" s="33">
        <v>1104</v>
      </c>
      <c r="S32" s="33">
        <v>2280</v>
      </c>
      <c r="T32" s="33">
        <v>1445</v>
      </c>
      <c r="U32" s="33">
        <v>1722</v>
      </c>
      <c r="V32" s="33">
        <v>1196</v>
      </c>
      <c r="W32" s="33">
        <v>7747</v>
      </c>
      <c r="X32" s="20"/>
      <c r="Y32" s="20"/>
      <c r="Z32" s="20"/>
      <c r="AA32" s="20"/>
      <c r="AB32" s="20"/>
      <c r="AC32" s="20"/>
      <c r="AD32" s="20"/>
      <c r="AE32" s="20"/>
    </row>
    <row r="33" spans="1:31" x14ac:dyDescent="0.3">
      <c r="A33" s="20"/>
      <c r="B33" s="20"/>
      <c r="C33" s="20"/>
      <c r="D33" s="20"/>
      <c r="E33" s="20"/>
      <c r="F33" s="20"/>
      <c r="G33" s="20"/>
      <c r="H33" s="20"/>
      <c r="I33" s="20"/>
      <c r="J33" s="20"/>
      <c r="K33" s="20"/>
      <c r="L33" s="20"/>
      <c r="M33" s="20"/>
      <c r="N33" s="20"/>
      <c r="O33" s="20"/>
      <c r="P33" s="20"/>
      <c r="Q33" s="31" t="str">
        <v>C0006</v>
      </c>
      <c r="R33" s="33">
        <v>372</v>
      </c>
      <c r="S33" s="33">
        <v>1818</v>
      </c>
      <c r="T33" s="33">
        <v>1346</v>
      </c>
      <c r="U33" s="33">
        <v>1156</v>
      </c>
      <c r="V33" s="33">
        <v>1484</v>
      </c>
      <c r="W33" s="33">
        <v>6176</v>
      </c>
      <c r="X33" s="20"/>
      <c r="Y33" s="20"/>
      <c r="Z33" s="20"/>
      <c r="AA33" s="20"/>
      <c r="AB33" s="20"/>
      <c r="AC33" s="20"/>
      <c r="AD33" s="20"/>
      <c r="AE33" s="20"/>
    </row>
    <row r="34" spans="1:31" x14ac:dyDescent="0.3">
      <c r="A34" s="20"/>
      <c r="B34" s="20"/>
      <c r="C34" s="20"/>
      <c r="D34" s="20"/>
      <c r="E34" s="20"/>
      <c r="F34" s="20"/>
      <c r="G34" s="20"/>
      <c r="H34" s="20"/>
      <c r="I34" s="20"/>
      <c r="J34" s="20"/>
      <c r="K34" s="20"/>
      <c r="L34" s="20"/>
      <c r="M34" s="20"/>
      <c r="N34" s="20"/>
      <c r="O34" s="20"/>
      <c r="P34" s="20"/>
      <c r="Q34" s="31" t="str">
        <v>C0009</v>
      </c>
      <c r="R34" s="33">
        <v>1415</v>
      </c>
      <c r="S34" s="33">
        <v>1271</v>
      </c>
      <c r="T34" s="33">
        <v>1214</v>
      </c>
      <c r="U34" s="33">
        <v>1135</v>
      </c>
      <c r="V34" s="33">
        <v>1566</v>
      </c>
      <c r="W34" s="33">
        <v>6601</v>
      </c>
      <c r="X34" s="20"/>
      <c r="Y34" s="20"/>
      <c r="Z34" s="20"/>
      <c r="AA34" s="20"/>
      <c r="AB34" s="20"/>
      <c r="AC34" s="20"/>
      <c r="AD34" s="20"/>
      <c r="AE34" s="20"/>
    </row>
    <row r="35" spans="1:31" x14ac:dyDescent="0.3">
      <c r="A35" s="20"/>
      <c r="B35" s="20"/>
      <c r="C35" s="20"/>
      <c r="D35" s="20"/>
      <c r="E35" s="20"/>
      <c r="F35" s="20"/>
      <c r="G35" s="20"/>
      <c r="H35" s="20"/>
      <c r="I35" s="20"/>
      <c r="J35" s="20"/>
      <c r="K35" s="20"/>
      <c r="L35" s="20"/>
      <c r="M35" s="20"/>
      <c r="N35" s="20"/>
      <c r="O35" s="20"/>
      <c r="P35" s="20"/>
      <c r="Q35" s="31" t="str">
        <v>C0014</v>
      </c>
      <c r="R35" s="33">
        <v>1362</v>
      </c>
      <c r="S35" s="33">
        <v>1363</v>
      </c>
      <c r="T35" s="33">
        <v>1152</v>
      </c>
      <c r="U35" s="33">
        <v>777</v>
      </c>
      <c r="V35" s="33">
        <v>750</v>
      </c>
      <c r="W35" s="33">
        <v>5404</v>
      </c>
      <c r="X35" s="20"/>
      <c r="Y35" s="20"/>
      <c r="Z35" s="20"/>
      <c r="AA35" s="20"/>
      <c r="AB35" s="20"/>
      <c r="AC35" s="20"/>
      <c r="AD35" s="20"/>
      <c r="AE35" s="20"/>
    </row>
    <row r="36" spans="1:31" x14ac:dyDescent="0.3">
      <c r="A36" s="20"/>
      <c r="B36" s="20"/>
      <c r="C36" s="20"/>
      <c r="D36" s="20"/>
      <c r="E36" s="20"/>
      <c r="F36" s="20"/>
      <c r="G36" s="20"/>
      <c r="H36" s="20"/>
      <c r="I36" s="20"/>
      <c r="J36" s="20"/>
      <c r="K36" s="20"/>
      <c r="L36" s="20"/>
      <c r="M36" s="20"/>
      <c r="N36" s="20"/>
      <c r="O36" s="20"/>
      <c r="P36" s="20"/>
      <c r="Q36" s="31"/>
      <c r="R36" s="33"/>
      <c r="S36" s="33"/>
      <c r="T36" s="33"/>
      <c r="U36" s="33"/>
      <c r="V36" s="33"/>
      <c r="W36" s="33"/>
      <c r="X36" s="20"/>
      <c r="Y36" s="20"/>
      <c r="Z36" s="20"/>
      <c r="AA36" s="20"/>
      <c r="AB36" s="20"/>
      <c r="AC36" s="20"/>
      <c r="AD36" s="20"/>
      <c r="AE36" s="20"/>
    </row>
    <row r="37" spans="1:31"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spans="1:31"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spans="1:31"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spans="1:31" x14ac:dyDescent="0.3">
      <c r="A40" s="20"/>
      <c r="B40" s="20"/>
      <c r="C40" s="20"/>
      <c r="D40" s="20"/>
      <c r="E40" s="20"/>
      <c r="F40" s="20"/>
      <c r="G40" s="20"/>
      <c r="H40" s="20"/>
      <c r="I40" s="20"/>
      <c r="J40" s="20"/>
      <c r="K40" s="20"/>
      <c r="L40" s="20"/>
      <c r="M40" s="20"/>
      <c r="N40" s="20"/>
      <c r="O40" s="20"/>
      <c r="P40" s="20"/>
      <c r="Q40" s="20"/>
      <c r="R40" s="20"/>
      <c r="S40" s="20"/>
      <c r="T40" s="20"/>
      <c r="U40" s="20"/>
      <c r="V40" s="20"/>
    </row>
    <row r="41" spans="1:31" x14ac:dyDescent="0.3">
      <c r="A41" s="20"/>
      <c r="B41" s="20"/>
      <c r="C41" s="20"/>
      <c r="D41" s="20"/>
      <c r="E41" s="20"/>
      <c r="F41" s="20"/>
      <c r="G41" s="20"/>
      <c r="H41" s="20"/>
      <c r="I41" s="20"/>
      <c r="J41" s="20"/>
      <c r="K41" s="20"/>
      <c r="L41" s="20"/>
      <c r="M41" s="20"/>
      <c r="N41" s="20"/>
      <c r="O41" s="20"/>
      <c r="P41" s="20"/>
      <c r="Q41" s="20"/>
      <c r="R41" s="20"/>
      <c r="S41" s="20"/>
      <c r="T41" s="20"/>
      <c r="U41" s="20"/>
      <c r="V41" s="20"/>
    </row>
    <row r="42" spans="1:31" x14ac:dyDescent="0.3">
      <c r="A42" s="20"/>
      <c r="B42" s="20"/>
      <c r="C42" s="20"/>
      <c r="D42" s="20"/>
      <c r="E42" s="20"/>
      <c r="F42" s="20"/>
      <c r="G42" s="20"/>
      <c r="H42" s="20"/>
      <c r="I42" s="20"/>
      <c r="J42" s="20"/>
      <c r="K42" s="20"/>
      <c r="L42" s="20"/>
      <c r="M42" s="20"/>
      <c r="N42" s="20"/>
      <c r="O42" s="20"/>
      <c r="P42" s="20"/>
      <c r="Q42" s="20"/>
      <c r="R42" s="20"/>
      <c r="S42" s="20"/>
      <c r="T42" s="20"/>
      <c r="U42" s="20"/>
      <c r="V42" s="20"/>
    </row>
    <row r="43" spans="1:31" x14ac:dyDescent="0.3">
      <c r="A43" s="20"/>
      <c r="B43" s="20"/>
      <c r="C43" s="20"/>
      <c r="D43" s="20"/>
      <c r="E43" s="20"/>
      <c r="F43" s="20"/>
      <c r="G43" s="20"/>
      <c r="H43" s="20"/>
      <c r="I43" s="20"/>
      <c r="J43" s="20"/>
      <c r="K43" s="20"/>
      <c r="L43" s="20"/>
      <c r="M43" s="20"/>
      <c r="N43" s="20"/>
      <c r="O43" s="20"/>
      <c r="P43" s="20"/>
      <c r="Q43" s="20"/>
      <c r="R43" s="20"/>
      <c r="S43" s="20"/>
      <c r="T43" s="20"/>
      <c r="U43" s="20"/>
      <c r="V43" s="20"/>
    </row>
    <row r="44" spans="1:31" x14ac:dyDescent="0.3">
      <c r="A44" s="20"/>
      <c r="B44" s="20"/>
      <c r="C44" s="20"/>
      <c r="D44" s="20"/>
      <c r="E44" s="20"/>
      <c r="F44" s="20"/>
      <c r="G44" s="20"/>
      <c r="H44" s="20"/>
      <c r="I44" s="20"/>
      <c r="J44" s="20"/>
      <c r="K44" s="20"/>
      <c r="L44" s="20"/>
      <c r="M44" s="20"/>
      <c r="N44" s="20"/>
      <c r="O44" s="20"/>
      <c r="P44" s="20"/>
      <c r="Q44" s="20"/>
      <c r="R44" s="20"/>
      <c r="S44" s="20"/>
      <c r="T44" s="20"/>
      <c r="U44" s="20"/>
      <c r="V44" s="20"/>
    </row>
  </sheetData>
  <conditionalFormatting sqref="R20:V36">
    <cfRule type="dataBar" priority="3">
      <dataBar>
        <cfvo type="num" val="0"/>
        <cfvo type="num" val="MAX($R$20:$V$36) * 2"/>
        <color theme="2" tint="-0.749992370372631"/>
      </dataBar>
      <extLst>
        <ext xmlns:x14="http://schemas.microsoft.com/office/spreadsheetml/2009/9/main" uri="{B025F937-C7B1-47D3-B67F-A62EFF666E3E}">
          <x14:id>{AB8A9231-5E12-4C32-8249-AEFE42A9C35E}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B8A9231-5E12-4C32-8249-AEFE42A9C35E}">
            <x14:dataBar minLength="0" maxLength="100" gradient="0">
              <x14:cfvo type="num">
                <xm:f>0</xm:f>
              </x14:cfvo>
              <x14:cfvo type="num">
                <xm:f>MAX($R$20:$V$36) * 2</xm:f>
              </x14:cfvo>
              <x14:negativeFillColor rgb="FFFF0000"/>
              <x14:axisColor rgb="FF000000"/>
            </x14:dataBar>
          </x14:cfRule>
          <xm:sqref>R20:V36</xm:sqref>
        </x14:conditionalFormatting>
        <x14:conditionalFormatting xmlns:xm="http://schemas.microsoft.com/office/excel/2006/main">
          <x14:cfRule type="expression" priority="1" id="{24E02DDE-C937-4FAB-814B-0F0B38BA74B1}">
            <xm:f>R$18=Pivots!$A$53</xm:f>
            <x14:dxf>
              <fill>
                <patternFill>
                  <bgColor theme="5" tint="0.59996337778862885"/>
                </patternFill>
              </fill>
              <border>
                <left style="thin">
                  <color auto="1"/>
                </left>
                <right style="thin">
                  <color auto="1"/>
                </right>
                <vertical/>
                <horizontal/>
              </border>
            </x14:dxf>
          </x14:cfRule>
          <xm:sqref>R18:W36</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41767-C7B8-443D-9C57-BE511A1150A8}">
  <dimension ref="A3:K83"/>
  <sheetViews>
    <sheetView topLeftCell="A6" workbookViewId="0">
      <selection activeCell="B17" sqref="B17"/>
    </sheetView>
  </sheetViews>
  <sheetFormatPr defaultRowHeight="14.4" x14ac:dyDescent="0.3"/>
  <cols>
    <col min="1" max="1" width="12.19921875" bestFit="1" customWidth="1"/>
    <col min="2" max="2" width="9.5" bestFit="1" customWidth="1"/>
    <col min="3" max="3" width="10.5" bestFit="1" customWidth="1"/>
    <col min="4" max="4" width="13.09765625" bestFit="1" customWidth="1"/>
    <col min="5" max="5" width="14.8984375" bestFit="1" customWidth="1"/>
    <col min="6" max="6" width="10.19921875" bestFit="1" customWidth="1"/>
    <col min="7" max="7" width="13.19921875" bestFit="1" customWidth="1"/>
    <col min="8" max="10" width="6.3984375" bestFit="1" customWidth="1"/>
    <col min="11" max="11" width="10.19921875" bestFit="1" customWidth="1"/>
  </cols>
  <sheetData>
    <row r="3" spans="1:5" x14ac:dyDescent="0.3">
      <c r="A3" t="s">
        <v>1042</v>
      </c>
      <c r="B3" t="s">
        <v>1043</v>
      </c>
      <c r="C3" t="s">
        <v>1044</v>
      </c>
      <c r="D3" t="s">
        <v>1045</v>
      </c>
      <c r="E3" t="s">
        <v>1046</v>
      </c>
    </row>
    <row r="4" spans="1:5" x14ac:dyDescent="0.3">
      <c r="A4" s="22">
        <v>1000</v>
      </c>
      <c r="B4" s="23">
        <v>96623</v>
      </c>
      <c r="C4" s="21">
        <v>89850</v>
      </c>
      <c r="D4" s="24">
        <v>3.8854000000000033</v>
      </c>
      <c r="E4">
        <v>307</v>
      </c>
    </row>
    <row r="8" spans="1:5" x14ac:dyDescent="0.3">
      <c r="A8" t="s">
        <v>1042</v>
      </c>
      <c r="B8" t="s">
        <v>1043</v>
      </c>
      <c r="C8" t="s">
        <v>1044</v>
      </c>
      <c r="D8" t="s">
        <v>1045</v>
      </c>
      <c r="E8" t="s">
        <v>1046</v>
      </c>
    </row>
    <row r="9" spans="1:5" x14ac:dyDescent="0.3">
      <c r="A9" s="21">
        <v>1000</v>
      </c>
      <c r="B9" s="23">
        <v>96623</v>
      </c>
      <c r="C9" s="21">
        <v>89850</v>
      </c>
      <c r="D9" s="24">
        <v>3.8854000000000033</v>
      </c>
      <c r="E9" s="29">
        <v>307</v>
      </c>
    </row>
    <row r="12" spans="1:5" x14ac:dyDescent="0.3">
      <c r="A12" s="26" t="s">
        <v>1047</v>
      </c>
      <c r="B12" t="s">
        <v>1042</v>
      </c>
      <c r="C12" t="s">
        <v>1062</v>
      </c>
    </row>
    <row r="13" spans="1:5" x14ac:dyDescent="0.3">
      <c r="A13" s="27" t="s">
        <v>1049</v>
      </c>
      <c r="B13" s="21">
        <v>79</v>
      </c>
      <c r="C13" s="21">
        <v>79</v>
      </c>
    </row>
    <row r="14" spans="1:5" x14ac:dyDescent="0.3">
      <c r="A14" s="27" t="s">
        <v>1050</v>
      </c>
      <c r="B14" s="21">
        <v>66</v>
      </c>
      <c r="C14" s="21">
        <v>66</v>
      </c>
    </row>
    <row r="15" spans="1:5" x14ac:dyDescent="0.3">
      <c r="A15" s="27" t="s">
        <v>1051</v>
      </c>
      <c r="B15" s="21">
        <v>155</v>
      </c>
      <c r="C15" s="21">
        <v>155</v>
      </c>
    </row>
    <row r="16" spans="1:5" x14ac:dyDescent="0.3">
      <c r="A16" s="27" t="s">
        <v>1052</v>
      </c>
      <c r="B16" s="21">
        <v>136</v>
      </c>
      <c r="C16" s="21">
        <v>136</v>
      </c>
    </row>
    <row r="17" spans="1:3" x14ac:dyDescent="0.3">
      <c r="A17" s="27" t="s">
        <v>1053</v>
      </c>
      <c r="B17" s="21">
        <v>83</v>
      </c>
      <c r="C17" s="21">
        <v>83</v>
      </c>
    </row>
    <row r="18" spans="1:3" x14ac:dyDescent="0.3">
      <c r="A18" s="27" t="s">
        <v>1054</v>
      </c>
      <c r="B18" s="21">
        <v>67</v>
      </c>
      <c r="C18" s="21">
        <v>67</v>
      </c>
    </row>
    <row r="19" spans="1:3" x14ac:dyDescent="0.3">
      <c r="A19" s="27" t="s">
        <v>1055</v>
      </c>
      <c r="B19" s="21">
        <v>64</v>
      </c>
      <c r="C19" s="21">
        <v>64</v>
      </c>
    </row>
    <row r="20" spans="1:3" x14ac:dyDescent="0.3">
      <c r="A20" s="27" t="s">
        <v>1056</v>
      </c>
      <c r="B20" s="21">
        <v>50</v>
      </c>
      <c r="C20" s="21">
        <v>50</v>
      </c>
    </row>
    <row r="21" spans="1:3" x14ac:dyDescent="0.3">
      <c r="A21" s="27" t="s">
        <v>1057</v>
      </c>
      <c r="B21" s="21">
        <v>76</v>
      </c>
      <c r="C21" s="21">
        <v>76</v>
      </c>
    </row>
    <row r="22" spans="1:3" x14ac:dyDescent="0.3">
      <c r="A22" s="27" t="s">
        <v>1058</v>
      </c>
      <c r="B22" s="21">
        <v>114</v>
      </c>
      <c r="C22" s="21">
        <v>114</v>
      </c>
    </row>
    <row r="23" spans="1:3" x14ac:dyDescent="0.3">
      <c r="A23" s="27" t="s">
        <v>1059</v>
      </c>
      <c r="B23" s="21">
        <v>57</v>
      </c>
      <c r="C23" s="21">
        <v>57</v>
      </c>
    </row>
    <row r="24" spans="1:3" x14ac:dyDescent="0.3">
      <c r="A24" s="27" t="s">
        <v>1060</v>
      </c>
      <c r="B24" s="21">
        <v>53</v>
      </c>
      <c r="C24" s="21">
        <v>53</v>
      </c>
    </row>
    <row r="25" spans="1:3" x14ac:dyDescent="0.3">
      <c r="A25" s="27" t="s">
        <v>1048</v>
      </c>
      <c r="B25" s="21">
        <v>1000</v>
      </c>
      <c r="C25" s="21">
        <v>1000</v>
      </c>
    </row>
    <row r="30" spans="1:3" x14ac:dyDescent="0.3">
      <c r="A30" s="26" t="s">
        <v>1047</v>
      </c>
      <c r="B30" t="s">
        <v>1061</v>
      </c>
    </row>
    <row r="31" spans="1:3" x14ac:dyDescent="0.3">
      <c r="A31" s="27" t="s">
        <v>1066</v>
      </c>
      <c r="B31" s="29">
        <v>146</v>
      </c>
    </row>
    <row r="32" spans="1:3" x14ac:dyDescent="0.3">
      <c r="A32" s="27" t="s">
        <v>1064</v>
      </c>
      <c r="B32" s="29">
        <v>133</v>
      </c>
    </row>
    <row r="33" spans="1:9" x14ac:dyDescent="0.3">
      <c r="A33" s="27" t="s">
        <v>1068</v>
      </c>
      <c r="B33" s="29">
        <v>138</v>
      </c>
    </row>
    <row r="34" spans="1:9" x14ac:dyDescent="0.3">
      <c r="A34" s="27" t="s">
        <v>1069</v>
      </c>
      <c r="B34" s="29">
        <v>153</v>
      </c>
    </row>
    <row r="35" spans="1:9" x14ac:dyDescent="0.3">
      <c r="A35" s="27" t="s">
        <v>1067</v>
      </c>
      <c r="B35" s="29">
        <v>128</v>
      </c>
    </row>
    <row r="36" spans="1:9" x14ac:dyDescent="0.3">
      <c r="A36" s="27" t="s">
        <v>1063</v>
      </c>
      <c r="B36" s="29">
        <v>141</v>
      </c>
    </row>
    <row r="37" spans="1:9" x14ac:dyDescent="0.3">
      <c r="A37" s="27" t="s">
        <v>1065</v>
      </c>
      <c r="B37" s="29">
        <v>161</v>
      </c>
    </row>
    <row r="38" spans="1:9" x14ac:dyDescent="0.3">
      <c r="A38" s="27" t="s">
        <v>1048</v>
      </c>
      <c r="B38" s="29">
        <v>1000</v>
      </c>
    </row>
    <row r="40" spans="1:9" x14ac:dyDescent="0.3">
      <c r="E40" t="s">
        <v>1072</v>
      </c>
      <c r="F40" t="s">
        <v>1070</v>
      </c>
      <c r="G40" t="s">
        <v>1071</v>
      </c>
      <c r="H40" t="s">
        <v>1073</v>
      </c>
      <c r="I40" t="s">
        <v>1074</v>
      </c>
    </row>
    <row r="41" spans="1:9" x14ac:dyDescent="0.3">
      <c r="E41" t="str" cm="1">
        <f t="array" ref="E41:G45">A44:C48</f>
        <v>R01</v>
      </c>
      <c r="F41">
        <v>189</v>
      </c>
      <c r="G41" s="28">
        <v>18415</v>
      </c>
      <c r="H41">
        <f>IF(E41=$A$53,F41,"")</f>
        <v>189</v>
      </c>
      <c r="I41">
        <f>IF(E41=$A$53,G41,"")</f>
        <v>18415</v>
      </c>
    </row>
    <row r="42" spans="1:9" x14ac:dyDescent="0.3">
      <c r="E42" t="str">
        <v>R02</v>
      </c>
      <c r="F42">
        <v>218</v>
      </c>
      <c r="G42" s="28">
        <v>20581</v>
      </c>
      <c r="H42" t="str">
        <f t="shared" ref="H42:H45" si="0">IF(E42=$A$53,F42,"")</f>
        <v/>
      </c>
      <c r="I42" t="str">
        <f t="shared" ref="I42:I45" si="1">IF(E42=$A$53,G42,"")</f>
        <v/>
      </c>
    </row>
    <row r="43" spans="1:9" x14ac:dyDescent="0.3">
      <c r="A43" s="26" t="s">
        <v>1047</v>
      </c>
      <c r="B43" t="s">
        <v>1042</v>
      </c>
      <c r="C43" t="s">
        <v>1043</v>
      </c>
      <c r="E43" t="str">
        <v>R03</v>
      </c>
      <c r="F43">
        <v>207</v>
      </c>
      <c r="G43" s="28">
        <v>20872</v>
      </c>
      <c r="H43" t="str">
        <f t="shared" si="0"/>
        <v/>
      </c>
      <c r="I43" t="str">
        <f t="shared" si="1"/>
        <v/>
      </c>
    </row>
    <row r="44" spans="1:9" x14ac:dyDescent="0.3">
      <c r="A44" s="27" t="s">
        <v>11</v>
      </c>
      <c r="B44" s="21">
        <v>189</v>
      </c>
      <c r="C44" s="23">
        <v>18415</v>
      </c>
      <c r="E44" t="str">
        <v>R04</v>
      </c>
      <c r="F44">
        <v>186</v>
      </c>
      <c r="G44" s="28">
        <v>16651</v>
      </c>
      <c r="H44" t="str">
        <f t="shared" si="0"/>
        <v/>
      </c>
      <c r="I44" t="str">
        <f t="shared" si="1"/>
        <v/>
      </c>
    </row>
    <row r="45" spans="1:9" x14ac:dyDescent="0.3">
      <c r="A45" s="27" t="s">
        <v>9</v>
      </c>
      <c r="B45" s="21">
        <v>218</v>
      </c>
      <c r="C45" s="23">
        <v>20581</v>
      </c>
      <c r="E45" t="str">
        <v>R05</v>
      </c>
      <c r="F45">
        <v>200</v>
      </c>
      <c r="G45" s="28">
        <v>20104</v>
      </c>
      <c r="H45" t="str">
        <f t="shared" si="0"/>
        <v/>
      </c>
      <c r="I45" t="str">
        <f t="shared" si="1"/>
        <v/>
      </c>
    </row>
    <row r="46" spans="1:9" x14ac:dyDescent="0.3">
      <c r="A46" s="27" t="s">
        <v>6</v>
      </c>
      <c r="B46" s="21">
        <v>207</v>
      </c>
      <c r="C46" s="23">
        <v>20872</v>
      </c>
    </row>
    <row r="47" spans="1:9" x14ac:dyDescent="0.3">
      <c r="A47" s="27" t="s">
        <v>13</v>
      </c>
      <c r="B47" s="21">
        <v>186</v>
      </c>
      <c r="C47" s="23">
        <v>16651</v>
      </c>
    </row>
    <row r="48" spans="1:9" x14ac:dyDescent="0.3">
      <c r="A48" s="27" t="s">
        <v>10</v>
      </c>
      <c r="B48" s="21">
        <v>200</v>
      </c>
      <c r="C48" s="23">
        <v>20104</v>
      </c>
    </row>
    <row r="49" spans="1:8" x14ac:dyDescent="0.3">
      <c r="A49" s="27" t="s">
        <v>1048</v>
      </c>
      <c r="B49" s="21">
        <v>1000</v>
      </c>
      <c r="C49" s="23">
        <v>96623</v>
      </c>
    </row>
    <row r="51" spans="1:8" x14ac:dyDescent="0.3">
      <c r="E51" t="b">
        <f>E43=A53</f>
        <v>0</v>
      </c>
    </row>
    <row r="52" spans="1:8" x14ac:dyDescent="0.3">
      <c r="A52" s="26" t="s">
        <v>1047</v>
      </c>
    </row>
    <row r="53" spans="1:8" x14ac:dyDescent="0.3">
      <c r="A53" s="27" t="s">
        <v>11</v>
      </c>
    </row>
    <row r="54" spans="1:8" x14ac:dyDescent="0.3">
      <c r="A54" s="27" t="s">
        <v>9</v>
      </c>
    </row>
    <row r="55" spans="1:8" x14ac:dyDescent="0.3">
      <c r="A55" s="27" t="s">
        <v>6</v>
      </c>
    </row>
    <row r="56" spans="1:8" x14ac:dyDescent="0.3">
      <c r="A56" s="27" t="s">
        <v>13</v>
      </c>
    </row>
    <row r="57" spans="1:8" x14ac:dyDescent="0.3">
      <c r="A57" s="27" t="s">
        <v>10</v>
      </c>
    </row>
    <row r="58" spans="1:8" x14ac:dyDescent="0.3">
      <c r="F58" s="26" t="s">
        <v>1042</v>
      </c>
      <c r="G58" s="26" t="s">
        <v>1075</v>
      </c>
    </row>
    <row r="59" spans="1:8" x14ac:dyDescent="0.3">
      <c r="F59" s="26" t="s">
        <v>1047</v>
      </c>
      <c r="G59" t="s">
        <v>999</v>
      </c>
      <c r="H59" t="s">
        <v>998</v>
      </c>
    </row>
    <row r="60" spans="1:8" x14ac:dyDescent="0.3">
      <c r="F60" s="27" t="s">
        <v>1002</v>
      </c>
      <c r="G60" s="21">
        <v>144</v>
      </c>
      <c r="H60" s="21">
        <v>132</v>
      </c>
    </row>
    <row r="61" spans="1:8" x14ac:dyDescent="0.3">
      <c r="F61" s="27" t="s">
        <v>1001</v>
      </c>
      <c r="G61" s="21">
        <v>326</v>
      </c>
      <c r="H61" s="21">
        <v>63</v>
      </c>
    </row>
    <row r="62" spans="1:8" x14ac:dyDescent="0.3">
      <c r="F62" s="27" t="s">
        <v>1000</v>
      </c>
      <c r="G62" s="21">
        <v>129</v>
      </c>
      <c r="H62" s="21">
        <v>206</v>
      </c>
    </row>
    <row r="64" spans="1:8" x14ac:dyDescent="0.3">
      <c r="A64" s="26" t="s">
        <v>1047</v>
      </c>
      <c r="B64" t="s">
        <v>1042</v>
      </c>
      <c r="E64" s="26" t="s">
        <v>1043</v>
      </c>
    </row>
    <row r="65" spans="1:11" x14ac:dyDescent="0.3">
      <c r="A65" s="27">
        <v>0</v>
      </c>
      <c r="B65" s="21">
        <v>1</v>
      </c>
      <c r="F65" t="s">
        <v>11</v>
      </c>
      <c r="G65" t="s">
        <v>9</v>
      </c>
      <c r="H65" t="s">
        <v>6</v>
      </c>
      <c r="I65" t="s">
        <v>13</v>
      </c>
      <c r="J65" t="s">
        <v>10</v>
      </c>
      <c r="K65" t="s">
        <v>1048</v>
      </c>
    </row>
    <row r="66" spans="1:11" x14ac:dyDescent="0.3">
      <c r="A66" s="27">
        <v>1</v>
      </c>
      <c r="B66" s="21">
        <v>8</v>
      </c>
      <c r="E66" s="27" t="s">
        <v>1002</v>
      </c>
      <c r="F66" s="29"/>
      <c r="G66" s="29"/>
      <c r="H66" s="29"/>
      <c r="I66" s="29"/>
      <c r="J66" s="29"/>
      <c r="K66" s="29"/>
    </row>
    <row r="67" spans="1:11" x14ac:dyDescent="0.3">
      <c r="A67" s="27">
        <v>2</v>
      </c>
      <c r="B67" s="21">
        <v>59</v>
      </c>
      <c r="E67" s="30" t="s">
        <v>20</v>
      </c>
      <c r="F67" s="23">
        <v>891</v>
      </c>
      <c r="G67" s="23">
        <v>1332</v>
      </c>
      <c r="H67" s="23">
        <v>1282</v>
      </c>
      <c r="I67" s="23">
        <v>739</v>
      </c>
      <c r="J67" s="23">
        <v>560</v>
      </c>
      <c r="K67" s="23">
        <v>4804</v>
      </c>
    </row>
    <row r="68" spans="1:11" x14ac:dyDescent="0.3">
      <c r="A68" s="27">
        <v>3</v>
      </c>
      <c r="B68" s="21">
        <v>197</v>
      </c>
      <c r="E68" s="30" t="s">
        <v>12</v>
      </c>
      <c r="F68" s="23">
        <v>1991</v>
      </c>
      <c r="G68" s="23">
        <v>1886</v>
      </c>
      <c r="H68" s="23">
        <v>1206</v>
      </c>
      <c r="I68" s="23">
        <v>884</v>
      </c>
      <c r="J68" s="23">
        <v>1722</v>
      </c>
      <c r="K68" s="23">
        <v>7689</v>
      </c>
    </row>
    <row r="69" spans="1:11" x14ac:dyDescent="0.3">
      <c r="A69" s="27">
        <v>4</v>
      </c>
      <c r="B69" s="21">
        <v>428</v>
      </c>
      <c r="E69" s="30" t="s">
        <v>8</v>
      </c>
      <c r="F69" s="23">
        <v>1163</v>
      </c>
      <c r="G69" s="23">
        <v>1180</v>
      </c>
      <c r="H69" s="23">
        <v>1616</v>
      </c>
      <c r="I69" s="23">
        <v>1043</v>
      </c>
      <c r="J69" s="23">
        <v>1747</v>
      </c>
      <c r="K69" s="23">
        <v>6749</v>
      </c>
    </row>
    <row r="70" spans="1:11" x14ac:dyDescent="0.3">
      <c r="A70" s="27">
        <v>5</v>
      </c>
      <c r="B70" s="21">
        <v>307</v>
      </c>
      <c r="E70" s="30" t="s">
        <v>16</v>
      </c>
      <c r="F70" s="23">
        <v>1438</v>
      </c>
      <c r="G70" s="23">
        <v>1616</v>
      </c>
      <c r="H70" s="23">
        <v>866</v>
      </c>
      <c r="I70" s="23">
        <v>829</v>
      </c>
      <c r="J70" s="23">
        <v>2070</v>
      </c>
      <c r="K70" s="23">
        <v>6819</v>
      </c>
    </row>
    <row r="71" spans="1:11" x14ac:dyDescent="0.3">
      <c r="E71" s="27" t="s">
        <v>1001</v>
      </c>
      <c r="F71" s="29"/>
      <c r="G71" s="29"/>
      <c r="H71" s="29"/>
      <c r="I71" s="29"/>
      <c r="J71" s="29"/>
      <c r="K71" s="29"/>
    </row>
    <row r="72" spans="1:11" x14ac:dyDescent="0.3">
      <c r="E72" s="30" t="s">
        <v>24</v>
      </c>
      <c r="F72" s="23">
        <v>1233</v>
      </c>
      <c r="G72" s="23">
        <v>223</v>
      </c>
      <c r="H72" s="23">
        <v>1680</v>
      </c>
      <c r="I72" s="23">
        <v>990</v>
      </c>
      <c r="J72" s="23">
        <v>1508</v>
      </c>
      <c r="K72" s="23">
        <v>5634</v>
      </c>
    </row>
    <row r="73" spans="1:11" x14ac:dyDescent="0.3">
      <c r="E73" s="30" t="s">
        <v>15</v>
      </c>
      <c r="F73" s="23">
        <v>1598</v>
      </c>
      <c r="G73" s="23">
        <v>1907</v>
      </c>
      <c r="H73" s="23">
        <v>869</v>
      </c>
      <c r="I73" s="23">
        <v>1426</v>
      </c>
      <c r="J73" s="23">
        <v>1416</v>
      </c>
      <c r="K73" s="23">
        <v>7216</v>
      </c>
    </row>
    <row r="74" spans="1:11" x14ac:dyDescent="0.3">
      <c r="E74" s="30" t="s">
        <v>5</v>
      </c>
      <c r="F74" s="23">
        <v>900</v>
      </c>
      <c r="G74" s="23">
        <v>1016</v>
      </c>
      <c r="H74" s="23">
        <v>960</v>
      </c>
      <c r="I74" s="23">
        <v>940</v>
      </c>
      <c r="J74" s="23">
        <v>1193</v>
      </c>
      <c r="K74" s="23">
        <v>5009</v>
      </c>
    </row>
    <row r="75" spans="1:11" x14ac:dyDescent="0.3">
      <c r="E75" s="30" t="s">
        <v>18</v>
      </c>
      <c r="F75" s="23">
        <v>900</v>
      </c>
      <c r="G75" s="23">
        <v>1470</v>
      </c>
      <c r="H75" s="23">
        <v>1617</v>
      </c>
      <c r="I75" s="23">
        <v>1314</v>
      </c>
      <c r="J75" s="23">
        <v>941</v>
      </c>
      <c r="K75" s="23">
        <v>6242</v>
      </c>
    </row>
    <row r="76" spans="1:11" x14ac:dyDescent="0.3">
      <c r="E76" s="30" t="s">
        <v>14</v>
      </c>
      <c r="F76" s="23">
        <v>1255</v>
      </c>
      <c r="G76" s="23">
        <v>516</v>
      </c>
      <c r="H76" s="23">
        <v>1874</v>
      </c>
      <c r="I76" s="23">
        <v>1863</v>
      </c>
      <c r="J76" s="23">
        <v>1722</v>
      </c>
      <c r="K76" s="23">
        <v>7230</v>
      </c>
    </row>
    <row r="77" spans="1:11" x14ac:dyDescent="0.3">
      <c r="E77" s="30" t="s">
        <v>19</v>
      </c>
      <c r="F77" s="23">
        <v>1138</v>
      </c>
      <c r="G77" s="23">
        <v>1898</v>
      </c>
      <c r="H77" s="23">
        <v>1482</v>
      </c>
      <c r="I77" s="23">
        <v>846</v>
      </c>
      <c r="J77" s="23">
        <v>1154</v>
      </c>
      <c r="K77" s="23">
        <v>6518</v>
      </c>
    </row>
    <row r="78" spans="1:11" x14ac:dyDescent="0.3">
      <c r="E78" s="27" t="s">
        <v>1000</v>
      </c>
      <c r="F78" s="29"/>
      <c r="G78" s="29"/>
      <c r="H78" s="29"/>
      <c r="I78" s="29"/>
      <c r="J78" s="29"/>
      <c r="K78" s="29"/>
    </row>
    <row r="79" spans="1:11" x14ac:dyDescent="0.3">
      <c r="E79" s="30" t="s">
        <v>17</v>
      </c>
      <c r="F79" s="23">
        <v>1655</v>
      </c>
      <c r="G79" s="23">
        <v>805</v>
      </c>
      <c r="H79" s="23">
        <v>2263</v>
      </c>
      <c r="I79" s="23">
        <v>987</v>
      </c>
      <c r="J79" s="23">
        <v>1075</v>
      </c>
      <c r="K79" s="23">
        <v>6785</v>
      </c>
    </row>
    <row r="80" spans="1:11" x14ac:dyDescent="0.3">
      <c r="E80" s="30" t="s">
        <v>23</v>
      </c>
      <c r="F80" s="23">
        <v>1104</v>
      </c>
      <c r="G80" s="23">
        <v>2280</v>
      </c>
      <c r="H80" s="23">
        <v>1445</v>
      </c>
      <c r="I80" s="23">
        <v>1722</v>
      </c>
      <c r="J80" s="23">
        <v>1196</v>
      </c>
      <c r="K80" s="23">
        <v>7747</v>
      </c>
    </row>
    <row r="81" spans="5:11" x14ac:dyDescent="0.3">
      <c r="E81" s="30" t="s">
        <v>7</v>
      </c>
      <c r="F81" s="23">
        <v>372</v>
      </c>
      <c r="G81" s="23">
        <v>1818</v>
      </c>
      <c r="H81" s="23">
        <v>1346</v>
      </c>
      <c r="I81" s="23">
        <v>1156</v>
      </c>
      <c r="J81" s="23">
        <v>1484</v>
      </c>
      <c r="K81" s="23">
        <v>6176</v>
      </c>
    </row>
    <row r="82" spans="5:11" x14ac:dyDescent="0.3">
      <c r="E82" s="30" t="s">
        <v>22</v>
      </c>
      <c r="F82" s="23">
        <v>1415</v>
      </c>
      <c r="G82" s="23">
        <v>1271</v>
      </c>
      <c r="H82" s="23">
        <v>1214</v>
      </c>
      <c r="I82" s="23">
        <v>1135</v>
      </c>
      <c r="J82" s="23">
        <v>1566</v>
      </c>
      <c r="K82" s="23">
        <v>6601</v>
      </c>
    </row>
    <row r="83" spans="5:11" x14ac:dyDescent="0.3">
      <c r="E83" s="30" t="s">
        <v>21</v>
      </c>
      <c r="F83" s="23">
        <v>1362</v>
      </c>
      <c r="G83" s="23">
        <v>1363</v>
      </c>
      <c r="H83" s="23">
        <v>1152</v>
      </c>
      <c r="I83" s="23">
        <v>777</v>
      </c>
      <c r="J83" s="23">
        <v>750</v>
      </c>
      <c r="K83" s="23">
        <v>5404</v>
      </c>
    </row>
  </sheetData>
  <conditionalFormatting pivot="1" sqref="F66:K66">
    <cfRule type="dataBar" priority="6">
      <dataBar>
        <cfvo type="min"/>
        <cfvo type="max"/>
        <color rgb="FF638EC6"/>
      </dataBar>
      <extLst>
        <ext xmlns:x14="http://schemas.microsoft.com/office/spreadsheetml/2009/9/main" uri="{B025F937-C7B1-47D3-B67F-A62EFF666E3E}">
          <x14:id>{9E089D8D-4040-411C-815A-E323FF0C3953}</x14:id>
        </ext>
      </extLst>
    </cfRule>
  </conditionalFormatting>
  <conditionalFormatting pivot="1" sqref="F66:K66">
    <cfRule type="dataBar" priority="5">
      <dataBar showValue="0">
        <cfvo type="min"/>
        <cfvo type="max"/>
        <color rgb="FF638EC6"/>
      </dataBar>
      <extLst>
        <ext xmlns:x14="http://schemas.microsoft.com/office/spreadsheetml/2009/9/main" uri="{B025F937-C7B1-47D3-B67F-A62EFF666E3E}">
          <x14:id>{FB147118-E18E-4622-BC1C-88910F93FB2B}</x14:id>
        </ext>
      </extLst>
    </cfRule>
  </conditionalFormatting>
  <conditionalFormatting pivot="1" sqref="F66:K66">
    <cfRule type="dataBar" priority="4">
      <dataBar>
        <cfvo type="min"/>
        <cfvo type="max"/>
        <color rgb="FF638EC6"/>
      </dataBar>
      <extLst>
        <ext xmlns:x14="http://schemas.microsoft.com/office/spreadsheetml/2009/9/main" uri="{B025F937-C7B1-47D3-B67F-A62EFF666E3E}">
          <x14:id>{563BC6E0-BDDC-44C0-8DCC-85CC0635ED4F}</x14:id>
        </ext>
      </extLst>
    </cfRule>
  </conditionalFormatting>
  <conditionalFormatting pivot="1" sqref="F66:K66">
    <cfRule type="dataBar" priority="3">
      <dataBar>
        <cfvo type="min"/>
        <cfvo type="max"/>
        <color rgb="FF638EC6"/>
      </dataBar>
      <extLst>
        <ext xmlns:x14="http://schemas.microsoft.com/office/spreadsheetml/2009/9/main" uri="{B025F937-C7B1-47D3-B67F-A62EFF666E3E}">
          <x14:id>{9F26FD32-27A6-40F1-830B-DB175D541BBB}</x14:id>
        </ext>
      </extLst>
    </cfRule>
  </conditionalFormatting>
  <conditionalFormatting pivot="1" sqref="F66:K66">
    <cfRule type="dataBar" priority="2">
      <dataBar>
        <cfvo type="num" val="$F$67/5"/>
        <cfvo type="num" val="$H$73/5"/>
        <color rgb="FF638EC6"/>
      </dataBar>
      <extLst>
        <ext xmlns:x14="http://schemas.microsoft.com/office/spreadsheetml/2009/9/main" uri="{B025F937-C7B1-47D3-B67F-A62EFF666E3E}">
          <x14:id>{DACABEC6-9BA4-4C93-9113-08C07566A7D7}</x14:id>
        </ext>
      </extLst>
    </cfRule>
  </conditionalFormatting>
  <conditionalFormatting pivot="1" sqref="F66:K66">
    <cfRule type="dataBar" priority="1">
      <dataBar>
        <cfvo type="min"/>
        <cfvo type="max"/>
        <color rgb="FF638EC6"/>
      </dataBar>
      <extLst>
        <ext xmlns:x14="http://schemas.microsoft.com/office/spreadsheetml/2009/9/main" uri="{B025F937-C7B1-47D3-B67F-A62EFF666E3E}">
          <x14:id>{B63147DD-6E43-49A3-A6ED-0F22E1B3AB66}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9E089D8D-4040-411C-815A-E323FF0C3953}">
            <x14:dataBar minLength="0" maxLength="100" gradient="0">
              <x14:cfvo type="autoMin"/>
              <x14:cfvo type="autoMax"/>
              <x14:negativeFillColor rgb="FFFF0000"/>
              <x14:axisColor rgb="FF000000"/>
            </x14:dataBar>
          </x14:cfRule>
          <xm:sqref>F66:K66</xm:sqref>
        </x14:conditionalFormatting>
        <x14:conditionalFormatting xmlns:xm="http://schemas.microsoft.com/office/excel/2006/main" pivot="1">
          <x14:cfRule type="dataBar" id="{FB147118-E18E-4622-BC1C-88910F93FB2B}">
            <x14:dataBar minLength="0" maxLength="100" gradient="0" direction="leftToRight">
              <x14:cfvo type="autoMin"/>
              <x14:cfvo type="autoMax"/>
              <x14:negativeFillColor rgb="FFFF0000"/>
              <x14:axisColor rgb="FF000000"/>
            </x14:dataBar>
          </x14:cfRule>
          <xm:sqref>F66:K66</xm:sqref>
        </x14:conditionalFormatting>
        <x14:conditionalFormatting xmlns:xm="http://schemas.microsoft.com/office/excel/2006/main" pivot="1">
          <x14:cfRule type="dataBar" id="{563BC6E0-BDDC-44C0-8DCC-85CC0635ED4F}">
            <x14:dataBar minLength="0" maxLength="100" gradient="0">
              <x14:cfvo type="autoMin"/>
              <x14:cfvo type="autoMax"/>
              <x14:negativeFillColor rgb="FFFF0000"/>
              <x14:axisColor rgb="FF000000"/>
            </x14:dataBar>
          </x14:cfRule>
          <xm:sqref>F66:K66</xm:sqref>
        </x14:conditionalFormatting>
        <x14:conditionalFormatting xmlns:xm="http://schemas.microsoft.com/office/excel/2006/main" pivot="1">
          <x14:cfRule type="dataBar" id="{9F26FD32-27A6-40F1-830B-DB175D541BBB}">
            <x14:dataBar minLength="0" maxLength="100" gradient="0">
              <x14:cfvo type="min"/>
              <x14:cfvo type="max"/>
              <x14:negativeFillColor rgb="FFFF0000"/>
              <x14:axisColor rgb="FF000000"/>
            </x14:dataBar>
          </x14:cfRule>
          <xm:sqref>F66:K66</xm:sqref>
        </x14:conditionalFormatting>
        <x14:conditionalFormatting xmlns:xm="http://schemas.microsoft.com/office/excel/2006/main" pivot="1">
          <x14:cfRule type="dataBar" id="{DACABEC6-9BA4-4C93-9113-08C07566A7D7}">
            <x14:dataBar minLength="0" maxLength="100" gradient="0">
              <x14:cfvo type="num">
                <xm:f>$F$67/5</xm:f>
              </x14:cfvo>
              <x14:cfvo type="num">
                <xm:f>$H$73/5</xm:f>
              </x14:cfvo>
              <x14:negativeFillColor rgb="FFFF0000"/>
              <x14:axisColor rgb="FF000000"/>
            </x14:dataBar>
          </x14:cfRule>
          <xm:sqref>F66:K66</xm:sqref>
        </x14:conditionalFormatting>
        <x14:conditionalFormatting xmlns:xm="http://schemas.microsoft.com/office/excel/2006/main" pivot="1">
          <x14:cfRule type="dataBar" id="{B63147DD-6E43-49A3-A6ED-0F22E1B3AB66}">
            <x14:dataBar minLength="0" maxLength="100" gradient="0">
              <x14:cfvo type="autoMin"/>
              <x14:cfvo type="autoMax"/>
              <x14:negativeFillColor rgb="FFFF0000"/>
              <x14:axisColor rgb="FF000000"/>
            </x14:dataBar>
          </x14:cfRule>
          <xm:sqref>F66:K66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6" sqref="H6"/>
    </sheetView>
  </sheetViews>
  <sheetFormatPr defaultRowHeight="14.4" x14ac:dyDescent="0.3"/>
  <cols>
    <col min="5" max="5" width="6" bestFit="1" customWidth="1"/>
    <col min="6" max="6" width="11.3984375" bestFit="1"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Call Centre Report</vt:lpstr>
      <vt:lpstr>Pivots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Puja Kumari</cp:lastModifiedBy>
  <dcterms:created xsi:type="dcterms:W3CDTF">2021-03-14T20:21:32Z</dcterms:created>
  <dcterms:modified xsi:type="dcterms:W3CDTF">2026-06-16T11:09:16Z</dcterms:modified>
</cp:coreProperties>
</file>